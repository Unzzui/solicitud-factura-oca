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OT 00005 ENEL CALIDAD (2024)\04 Edp's\2603 EDP N°23\"/>
    </mc:Choice>
  </mc:AlternateContent>
  <xr:revisionPtr revIDLastSave="0" documentId="13_ncr:1_{F28B22FF-A430-4C24-B773-C84AC6A7F137}" xr6:coauthVersionLast="47" xr6:coauthVersionMax="47" xr10:uidLastSave="{00000000-0000-0000-0000-000000000000}"/>
  <bookViews>
    <workbookView xWindow="34680" yWindow="1380" windowWidth="21600" windowHeight="11235" xr2:uid="{00000000-000D-0000-FFFF-FFFF00000000}"/>
  </bookViews>
  <sheets>
    <sheet name="Factura 01-101031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5" i="1" l="1"/>
  <c r="K53" i="1" s="1"/>
  <c r="F11" i="1"/>
  <c r="D11" i="1"/>
  <c r="K54" i="1" l="1"/>
  <c r="K5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LMUNOZ</author>
    <author>OCA Chile</author>
    <author>Norcontrol Chile S.A.</author>
  </authors>
  <commentList>
    <comment ref="C10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Fecha en la que se quiere facturar. Si no se pone, adm asume el día de la instrucción o fin de mes si es posterior al cierre y dentro del plazo para facturar</t>
        </r>
      </text>
    </comment>
    <comment ref="C1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OCA Chile:</t>
        </r>
        <r>
          <rPr>
            <sz val="9"/>
            <color indexed="81"/>
            <rFont val="Tahoma"/>
            <family val="2"/>
          </rPr>
          <t xml:space="preserve">
Se pone fecha de pago acordado con cliente, si no se especifica se supondrá pago a 30 días</t>
        </r>
      </text>
    </comment>
    <comment ref="C15" authorId="2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LMUÑOZ:
</t>
        </r>
        <r>
          <rPr>
            <sz val="8"/>
            <color indexed="81"/>
            <rFont val="Tahoma"/>
            <family val="2"/>
          </rPr>
          <t>Empresa que debe emitir la factura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D18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Nombre completo de la sociedad a facturar</t>
        </r>
      </text>
    </comment>
    <comment ref="C20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Rut de la sociedad a facturar</t>
        </r>
      </text>
    </comment>
    <comment ref="C22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Dirección de la sociedad a facturar.</t>
        </r>
      </text>
    </comment>
    <comment ref="C26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De la sociedad a facturar si es conocido</t>
        </r>
      </text>
    </comment>
    <comment ref="C28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Poner este importante dato cuando corresponda</t>
        </r>
      </text>
    </comment>
    <comment ref="C31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En este campo deben detallar la glosa de la factura, tal y cual quieran que se escriba</t>
        </r>
      </text>
    </comment>
    <comment ref="C44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Si desean se detallen varios item's</t>
        </r>
      </text>
    </comment>
    <comment ref="D44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En esta columna se detalla el monto que se debe facturar en pesos. Si la instrucción es en pesos, lo siguiente es llenar la celda del IVA.</t>
        </r>
      </text>
    </comment>
    <comment ref="I44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 xml:space="preserve">LMUNOZ:
</t>
        </r>
        <r>
          <rPr>
            <sz val="8"/>
            <color indexed="81"/>
            <rFont val="Tahoma"/>
            <family val="2"/>
          </rPr>
          <t xml:space="preserve">Cuando el contrato y/o las clausulas de facturación son en UF ( o en equivalente a DLS para la columna siguiente), esta columna se debe llenar con el valor </t>
        </r>
        <r>
          <rPr>
            <b/>
            <sz val="8"/>
            <color indexed="81"/>
            <rFont val="Tahoma"/>
            <family val="2"/>
          </rPr>
          <t>en</t>
        </r>
        <r>
          <rPr>
            <sz val="8"/>
            <color indexed="81"/>
            <rFont val="Tahoma"/>
            <family val="2"/>
          </rPr>
          <t xml:space="preserve"> UF ( o </t>
        </r>
        <r>
          <rPr>
            <b/>
            <sz val="8"/>
            <color indexed="81"/>
            <rFont val="Tahoma"/>
            <family val="2"/>
          </rPr>
          <t>en</t>
        </r>
        <r>
          <rPr>
            <sz val="8"/>
            <color indexed="81"/>
            <rFont val="Tahoma"/>
            <family val="2"/>
          </rPr>
          <t xml:space="preserve"> DLS para la columna siguiente) y luego completar las celdas siguientes ( Valor UF o Valor US$) según corresponda.
 </t>
        </r>
      </text>
    </comment>
    <comment ref="K44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VER COMENTARIO ANTERIOR.
Además, c</t>
        </r>
        <r>
          <rPr>
            <sz val="8"/>
            <color indexed="81"/>
            <rFont val="Tahoma"/>
            <family val="2"/>
          </rPr>
          <t xml:space="preserve">uando se esté instruyendo una factura </t>
        </r>
        <r>
          <rPr>
            <b/>
            <sz val="8"/>
            <color indexed="81"/>
            <rFont val="Tahoma"/>
            <family val="2"/>
          </rPr>
          <t>en dólares</t>
        </r>
        <r>
          <rPr>
            <sz val="8"/>
            <color indexed="81"/>
            <rFont val="Tahoma"/>
            <family val="2"/>
          </rPr>
          <t xml:space="preserve"> ( es decir que esta sea realmente en esa divisa), se completa este campo y en la celda de "Valor US$" se pone 1. Estas facturas son solo para empresas fuera de Chile y SIN IVA.</t>
        </r>
      </text>
    </comment>
    <comment ref="C51" authorId="0" shapeId="0" xr:uid="{00000000-0006-0000-0000-00000E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Completar cada vez que se instruya en UF o DLS, cuando se conosca o se quiera un tipo de cambio determinado. Si este no se conoce, no anotar nada y administración utilizará el del día de la facturación o el de fin de mes según corresponda.</t>
        </r>
      </text>
    </comment>
    <comment ref="J51" authorId="0" shapeId="0" xr:uid="{00000000-0006-0000-0000-00000F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Idem a comentario de la celda " ValorUF".</t>
        </r>
      </text>
    </comment>
    <comment ref="D53" authorId="0" shapeId="0" xr:uid="{00000000-0006-0000-0000-000010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Este es un campo importante. Marcar si es con o sin IVA la factura. Ojo, por defecto adm. Facturará CON iva.</t>
        </r>
      </text>
    </comment>
    <comment ref="J53" authorId="0" shapeId="0" xr:uid="{00000000-0006-0000-0000-000011000000}">
      <text>
        <r>
          <rPr>
            <b/>
            <sz val="8"/>
            <color indexed="81"/>
            <rFont val="Tahoma"/>
            <family val="2"/>
          </rPr>
          <t>LMUNOZ:</t>
        </r>
        <r>
          <rPr>
            <sz val="8"/>
            <color indexed="81"/>
            <rFont val="Tahoma"/>
            <family val="2"/>
          </rPr>
          <t xml:space="preserve">
Estos tres campos se llenan automáticamente.</t>
        </r>
      </text>
    </comment>
  </commentList>
</comments>
</file>

<file path=xl/sharedStrings.xml><?xml version="1.0" encoding="utf-8"?>
<sst xmlns="http://schemas.openxmlformats.org/spreadsheetml/2006/main" count="50" uniqueCount="50">
  <si>
    <t>Código:</t>
  </si>
  <si>
    <t xml:space="preserve">F-AF-01-01 </t>
  </si>
  <si>
    <t>Versión:</t>
  </si>
  <si>
    <t>Fecha emisión:</t>
  </si>
  <si>
    <t>EMISION FACTURA DE VENTA</t>
  </si>
  <si>
    <t>N° Folio</t>
  </si>
  <si>
    <t>Fecha:</t>
  </si>
  <si>
    <t xml:space="preserve"> </t>
  </si>
  <si>
    <t>Centro de Costo</t>
  </si>
  <si>
    <t>Fecha Vcto.</t>
  </si>
  <si>
    <t>N° Factura</t>
  </si>
  <si>
    <t>DIVISION</t>
  </si>
  <si>
    <t>Emitida por:</t>
  </si>
  <si>
    <t>OCA Ensayos, Inspecciones y Certificaciones Chile S.A</t>
  </si>
  <si>
    <t>Empresa:</t>
  </si>
  <si>
    <t>ENEL DISTRIBUCION CHILE S.A.</t>
  </si>
  <si>
    <t>Rut</t>
  </si>
  <si>
    <t>-</t>
  </si>
  <si>
    <t>Dirección:</t>
  </si>
  <si>
    <t>SANTA ROSA 76 P.08</t>
  </si>
  <si>
    <t>Comuna:</t>
  </si>
  <si>
    <t>SANTIAGO</t>
  </si>
  <si>
    <t>Ciudad:</t>
  </si>
  <si>
    <t>SANTA ROSA</t>
  </si>
  <si>
    <t>Giro:</t>
  </si>
  <si>
    <t>DISTRIBUCIÓN DE ENERGÍA ELECTRICA</t>
  </si>
  <si>
    <t>Atención Sra:</t>
  </si>
  <si>
    <t>Jefe de Proy.</t>
  </si>
  <si>
    <t>Patricio Andrés Jara Gutierrez  </t>
  </si>
  <si>
    <t>Detalle:</t>
  </si>
  <si>
    <t>Item</t>
  </si>
  <si>
    <t>Monto UF</t>
  </si>
  <si>
    <t>Monto (US$)</t>
  </si>
  <si>
    <t>Valor UF:</t>
  </si>
  <si>
    <t>Valor US$:</t>
  </si>
  <si>
    <t>Incluye IVA</t>
  </si>
  <si>
    <t>Neto:</t>
  </si>
  <si>
    <t>SI:</t>
  </si>
  <si>
    <t>NO:</t>
  </si>
  <si>
    <t>x</t>
  </si>
  <si>
    <t>IVA:</t>
  </si>
  <si>
    <t>Total:</t>
  </si>
  <si>
    <t>CCAT</t>
  </si>
  <si>
    <t>CONTACTO Patricia Steffens</t>
  </si>
  <si>
    <t>Patricia Steffens</t>
  </si>
  <si>
    <t xml:space="preserve">ESTADOS DE PAGO N°23 CONTRATO DE CALIDAD   </t>
  </si>
  <si>
    <t>EP 03/2026  CALIDAD CYR</t>
  </si>
  <si>
    <t>OC 6301002982</t>
  </si>
  <si>
    <t>FECHA CONFORMIDAD 28-04-2026</t>
  </si>
  <si>
    <t>HES   5003328479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</si>
</sst>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&quot;$&quot;\-#,##0"/>
    <numFmt numFmtId="42" formatCode="_ &quot;$&quot;* #,##0_ ;_ &quot;$&quot;* \-#,##0_ ;_ &quot;$&quot;* &quot;-&quot;_ ;_ @_ "/>
    <numFmt numFmtId="164" formatCode="&quot;$&quot;\ #,##0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</numFmts>
  <fonts count="14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8"/>
      <name val="Arial"/>
      <family val="2"/>
    </font>
    <font>
      <b/>
      <i/>
      <sz val="10"/>
      <name val="Arial"/>
      <family val="2"/>
    </font>
    <font>
      <sz val="10"/>
      <color indexed="18"/>
      <name val="Arial"/>
      <family val="2"/>
    </font>
    <font>
      <b/>
      <sz val="9"/>
      <color indexed="1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1F497D"/>
      <name val="Calibri"/>
      <family val="2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horizontal="right"/>
    </xf>
    <xf numFmtId="0" fontId="2" fillId="2" borderId="0" xfId="0" applyFont="1" applyFill="1"/>
    <xf numFmtId="0" fontId="2" fillId="3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14" fontId="2" fillId="2" borderId="0" xfId="0" applyNumberFormat="1" applyFont="1" applyFill="1" applyAlignment="1">
      <alignment horizontal="left"/>
    </xf>
    <xf numFmtId="0" fontId="3" fillId="0" borderId="1" xfId="0" applyFont="1" applyBorder="1"/>
    <xf numFmtId="0" fontId="3" fillId="0" borderId="2" xfId="0" applyFont="1" applyBorder="1"/>
    <xf numFmtId="0" fontId="0" fillId="0" borderId="3" xfId="0" applyBorder="1"/>
    <xf numFmtId="0" fontId="0" fillId="0" borderId="4" xfId="0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5" borderId="7" xfId="0" applyFont="1" applyFill="1" applyBorder="1" applyAlignment="1">
      <alignment horizontal="right"/>
    </xf>
    <xf numFmtId="0" fontId="0" fillId="6" borderId="7" xfId="0" applyFill="1" applyBorder="1"/>
    <xf numFmtId="0" fontId="0" fillId="6" borderId="7" xfId="0" applyFill="1" applyBorder="1" applyAlignment="1">
      <alignment horizontal="center"/>
    </xf>
    <xf numFmtId="0" fontId="1" fillId="6" borderId="7" xfId="0" applyFont="1" applyFill="1" applyBorder="1" applyAlignment="1">
      <alignment horizontal="justify" vertical="center"/>
    </xf>
    <xf numFmtId="0" fontId="0" fillId="0" borderId="8" xfId="0" applyBorder="1"/>
    <xf numFmtId="0" fontId="0" fillId="6" borderId="2" xfId="0" applyFill="1" applyBorder="1"/>
    <xf numFmtId="0" fontId="4" fillId="5" borderId="7" xfId="0" applyFont="1" applyFill="1" applyBorder="1" applyAlignment="1">
      <alignment horizontal="right" vertical="center"/>
    </xf>
    <xf numFmtId="0" fontId="0" fillId="6" borderId="9" xfId="0" applyFill="1" applyBorder="1"/>
    <xf numFmtId="0" fontId="4" fillId="6" borderId="9" xfId="0" applyFont="1" applyFill="1" applyBorder="1" applyAlignment="1">
      <alignment horizontal="right"/>
    </xf>
    <xf numFmtId="0" fontId="4" fillId="5" borderId="11" xfId="0" applyFont="1" applyFill="1" applyBorder="1" applyAlignment="1">
      <alignment horizontal="right" vertical="top"/>
    </xf>
    <xf numFmtId="0" fontId="4" fillId="5" borderId="18" xfId="0" applyFont="1" applyFill="1" applyBorder="1" applyAlignment="1">
      <alignment horizontal="right" vertical="top"/>
    </xf>
    <xf numFmtId="0" fontId="4" fillId="5" borderId="15" xfId="0" applyFont="1" applyFill="1" applyBorder="1" applyAlignment="1">
      <alignment horizontal="right" vertical="top"/>
    </xf>
    <xf numFmtId="0" fontId="6" fillId="6" borderId="7" xfId="0" applyFont="1" applyFill="1" applyBorder="1" applyAlignment="1">
      <alignment horizontal="left"/>
    </xf>
    <xf numFmtId="0" fontId="6" fillId="6" borderId="7" xfId="0" applyFont="1" applyFill="1" applyBorder="1" applyAlignment="1">
      <alignment horizontal="right"/>
    </xf>
    <xf numFmtId="0" fontId="7" fillId="5" borderId="7" xfId="0" applyFont="1" applyFill="1" applyBorder="1" applyAlignment="1">
      <alignment horizontal="right"/>
    </xf>
    <xf numFmtId="0" fontId="7" fillId="5" borderId="7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right" vertical="center"/>
    </xf>
    <xf numFmtId="0" fontId="0" fillId="0" borderId="19" xfId="0" applyBorder="1"/>
    <xf numFmtId="0" fontId="0" fillId="0" borderId="20" xfId="0" applyBorder="1" applyAlignment="1">
      <alignment horizontal="right"/>
    </xf>
    <xf numFmtId="0" fontId="0" fillId="0" borderId="20" xfId="0" applyBorder="1"/>
    <xf numFmtId="0" fontId="7" fillId="5" borderId="21" xfId="0" applyFont="1" applyFill="1" applyBorder="1" applyAlignment="1">
      <alignment horizontal="center"/>
    </xf>
    <xf numFmtId="0" fontId="0" fillId="0" borderId="24" xfId="0" applyBorder="1"/>
    <xf numFmtId="0" fontId="4" fillId="5" borderId="7" xfId="0" applyFont="1" applyFill="1" applyBorder="1" applyAlignment="1">
      <alignment horizontal="left"/>
    </xf>
    <xf numFmtId="0" fontId="5" fillId="6" borderId="7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0" fontId="0" fillId="6" borderId="9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4" fillId="5" borderId="7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6" fontId="12" fillId="0" borderId="0" xfId="0" applyNumberFormat="1" applyFont="1"/>
    <xf numFmtId="0" fontId="0" fillId="6" borderId="1" xfId="0" applyFill="1" applyBorder="1" applyAlignment="1">
      <alignment horizontal="left"/>
    </xf>
    <xf numFmtId="0" fontId="0" fillId="6" borderId="12" xfId="0" applyFill="1" applyBorder="1" applyAlignment="1">
      <alignment vertical="top"/>
    </xf>
    <xf numFmtId="0" fontId="0" fillId="6" borderId="16" xfId="0" applyFill="1" applyBorder="1" applyAlignment="1">
      <alignment vertical="top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justify" vertic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6" borderId="11" xfId="0" applyFill="1" applyBorder="1" applyAlignment="1">
      <alignment vertical="top"/>
    </xf>
    <xf numFmtId="0" fontId="0" fillId="6" borderId="13" xfId="0" applyFill="1" applyBorder="1" applyAlignment="1">
      <alignment vertical="top"/>
    </xf>
    <xf numFmtId="0" fontId="0" fillId="6" borderId="18" xfId="0" applyFill="1" applyBorder="1" applyAlignment="1">
      <alignment vertical="top"/>
    </xf>
    <xf numFmtId="0" fontId="0" fillId="6" borderId="25" xfId="0" applyFill="1" applyBorder="1" applyAlignment="1">
      <alignment vertical="top"/>
    </xf>
    <xf numFmtId="0" fontId="0" fillId="6" borderId="15" xfId="0" applyFill="1" applyBorder="1" applyAlignment="1">
      <alignment vertical="top"/>
    </xf>
    <xf numFmtId="0" fontId="0" fillId="6" borderId="17" xfId="0" applyFill="1" applyBorder="1" applyAlignment="1">
      <alignment vertical="top"/>
    </xf>
    <xf numFmtId="0" fontId="0" fillId="6" borderId="0" xfId="0" applyFill="1" applyAlignment="1">
      <alignment vertical="top"/>
    </xf>
    <xf numFmtId="0" fontId="13" fillId="0" borderId="0" xfId="0" applyFont="1"/>
    <xf numFmtId="42" fontId="0" fillId="6" borderId="0" xfId="2" applyFont="1" applyFill="1" applyAlignment="1">
      <alignment vertical="top"/>
    </xf>
    <xf numFmtId="0" fontId="0" fillId="6" borderId="1" xfId="0" applyFill="1" applyBorder="1" applyAlignment="1">
      <alignment horizontal="justify" vertical="center"/>
    </xf>
    <xf numFmtId="0" fontId="0" fillId="0" borderId="9" xfId="0" applyBorder="1" applyAlignment="1">
      <alignment horizontal="justify" vertical="center"/>
    </xf>
    <xf numFmtId="0" fontId="0" fillId="0" borderId="2" xfId="0" applyBorder="1" applyAlignment="1">
      <alignment horizontal="justify" vertical="center"/>
    </xf>
    <xf numFmtId="0" fontId="3" fillId="4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1" fillId="6" borderId="11" xfId="0" applyFont="1" applyFill="1" applyBorder="1"/>
    <xf numFmtId="0" fontId="0" fillId="6" borderId="12" xfId="0" applyFill="1" applyBorder="1"/>
    <xf numFmtId="0" fontId="0" fillId="6" borderId="13" xfId="0" applyFill="1" applyBorder="1"/>
    <xf numFmtId="0" fontId="0" fillId="6" borderId="15" xfId="0" applyFill="1" applyBorder="1"/>
    <xf numFmtId="0" fontId="0" fillId="6" borderId="16" xfId="0" applyFill="1" applyBorder="1"/>
    <xf numFmtId="0" fontId="0" fillId="6" borderId="17" xfId="0" applyFill="1" applyBorder="1"/>
    <xf numFmtId="0" fontId="0" fillId="6" borderId="1" xfId="0" applyFill="1" applyBorder="1" applyAlignment="1">
      <alignment horizontal="left" wrapText="1"/>
    </xf>
    <xf numFmtId="0" fontId="0" fillId="6" borderId="9" xfId="0" applyFill="1" applyBorder="1" applyAlignment="1">
      <alignment horizontal="left" wrapText="1"/>
    </xf>
    <xf numFmtId="0" fontId="0" fillId="6" borderId="2" xfId="0" applyFill="1" applyBorder="1" applyAlignment="1">
      <alignment horizontal="left" wrapText="1"/>
    </xf>
    <xf numFmtId="3" fontId="5" fillId="6" borderId="1" xfId="0" applyNumberFormat="1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0" fontId="0" fillId="6" borderId="9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7" fillId="5" borderId="14" xfId="0" applyFont="1" applyFill="1" applyBorder="1" applyAlignment="1">
      <alignment horizontal="center"/>
    </xf>
    <xf numFmtId="164" fontId="6" fillId="6" borderId="1" xfId="0" applyNumberFormat="1" applyFont="1" applyFill="1" applyBorder="1" applyAlignment="1">
      <alignment horizontal="center"/>
    </xf>
    <xf numFmtId="164" fontId="6" fillId="6" borderId="9" xfId="0" applyNumberFormat="1" applyFont="1" applyFill="1" applyBorder="1" applyAlignment="1">
      <alignment horizontal="center"/>
    </xf>
    <xf numFmtId="164" fontId="6" fillId="6" borderId="2" xfId="0" applyNumberFormat="1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166" fontId="6" fillId="7" borderId="22" xfId="1" applyNumberFormat="1" applyFont="1" applyFill="1" applyBorder="1" applyAlignment="1">
      <alignment horizontal="center"/>
    </xf>
    <xf numFmtId="166" fontId="6" fillId="7" borderId="23" xfId="1" applyNumberFormat="1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165" fontId="6" fillId="6" borderId="1" xfId="1" applyFont="1" applyFill="1" applyBorder="1" applyAlignment="1">
      <alignment horizontal="center"/>
    </xf>
    <xf numFmtId="165" fontId="6" fillId="6" borderId="9" xfId="1" applyFont="1" applyFill="1" applyBorder="1" applyAlignment="1">
      <alignment horizontal="center"/>
    </xf>
    <xf numFmtId="165" fontId="6" fillId="6" borderId="2" xfId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166" fontId="6" fillId="7" borderId="1" xfId="1" applyNumberFormat="1" applyFont="1" applyFill="1" applyBorder="1" applyAlignment="1">
      <alignment horizontal="center"/>
    </xf>
    <xf numFmtId="166" fontId="6" fillId="7" borderId="2" xfId="1" applyNumberFormat="1" applyFont="1" applyFill="1" applyBorder="1" applyAlignment="1">
      <alignment horizontal="center"/>
    </xf>
  </cellXfs>
  <cellStyles count="3">
    <cellStyle name="Moneda" xfId="1" builtinId="4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7"/>
  <sheetViews>
    <sheetView showGridLines="0" tabSelected="1" topLeftCell="B19" zoomScale="110" zoomScaleNormal="110" workbookViewId="0">
      <selection activeCell="D39" sqref="D39"/>
    </sheetView>
  </sheetViews>
  <sheetFormatPr baseColWidth="10" defaultColWidth="11.44140625" defaultRowHeight="13.2" x14ac:dyDescent="0.25"/>
  <cols>
    <col min="1" max="1" width="2.6640625" customWidth="1"/>
    <col min="2" max="2" width="0.88671875" customWidth="1"/>
    <col min="3" max="3" width="12.5546875" style="1" bestFit="1" customWidth="1"/>
    <col min="4" max="4" width="8.5546875" customWidth="1"/>
    <col min="5" max="5" width="2.109375" customWidth="1"/>
    <col min="6" max="6" width="5.33203125" customWidth="1"/>
    <col min="7" max="7" width="2.109375" bestFit="1" customWidth="1"/>
    <col min="8" max="8" width="4.5546875" customWidth="1"/>
    <col min="9" max="9" width="11" customWidth="1"/>
    <col min="10" max="10" width="17.33203125" customWidth="1"/>
    <col min="11" max="11" width="19.6640625" customWidth="1"/>
    <col min="12" max="12" width="26.88671875" customWidth="1"/>
    <col min="13" max="13" width="0.88671875" customWidth="1"/>
    <col min="245" max="245" width="2.6640625" customWidth="1"/>
    <col min="246" max="246" width="0.88671875" customWidth="1"/>
    <col min="247" max="247" width="12.5546875" bestFit="1" customWidth="1"/>
    <col min="248" max="248" width="4.6640625" customWidth="1"/>
    <col min="249" max="249" width="1.6640625" customWidth="1"/>
    <col min="250" max="250" width="4.6640625" customWidth="1"/>
    <col min="251" max="251" width="1.6640625" customWidth="1"/>
    <col min="252" max="252" width="4.6640625" customWidth="1"/>
    <col min="253" max="254" width="8.6640625" customWidth="1"/>
    <col min="255" max="255" width="11.33203125" bestFit="1" customWidth="1"/>
    <col min="256" max="256" width="17.5546875" customWidth="1"/>
    <col min="257" max="257" width="0.88671875" customWidth="1"/>
    <col min="259" max="259" width="12.88671875" bestFit="1" customWidth="1"/>
    <col min="261" max="261" width="71.33203125" customWidth="1"/>
    <col min="501" max="501" width="2.6640625" customWidth="1"/>
    <col min="502" max="502" width="0.88671875" customWidth="1"/>
    <col min="503" max="503" width="12.5546875" bestFit="1" customWidth="1"/>
    <col min="504" max="504" width="4.6640625" customWidth="1"/>
    <col min="505" max="505" width="1.6640625" customWidth="1"/>
    <col min="506" max="506" width="4.6640625" customWidth="1"/>
    <col min="507" max="507" width="1.6640625" customWidth="1"/>
    <col min="508" max="508" width="4.6640625" customWidth="1"/>
    <col min="509" max="510" width="8.6640625" customWidth="1"/>
    <col min="511" max="511" width="11.33203125" bestFit="1" customWidth="1"/>
    <col min="512" max="512" width="17.5546875" customWidth="1"/>
    <col min="513" max="513" width="0.88671875" customWidth="1"/>
    <col min="515" max="515" width="12.88671875" bestFit="1" customWidth="1"/>
    <col min="517" max="517" width="71.33203125" customWidth="1"/>
    <col min="757" max="757" width="2.6640625" customWidth="1"/>
    <col min="758" max="758" width="0.88671875" customWidth="1"/>
    <col min="759" max="759" width="12.5546875" bestFit="1" customWidth="1"/>
    <col min="760" max="760" width="4.6640625" customWidth="1"/>
    <col min="761" max="761" width="1.6640625" customWidth="1"/>
    <col min="762" max="762" width="4.6640625" customWidth="1"/>
    <col min="763" max="763" width="1.6640625" customWidth="1"/>
    <col min="764" max="764" width="4.6640625" customWidth="1"/>
    <col min="765" max="766" width="8.6640625" customWidth="1"/>
    <col min="767" max="767" width="11.33203125" bestFit="1" customWidth="1"/>
    <col min="768" max="768" width="17.5546875" customWidth="1"/>
    <col min="769" max="769" width="0.88671875" customWidth="1"/>
    <col min="771" max="771" width="12.88671875" bestFit="1" customWidth="1"/>
    <col min="773" max="773" width="71.33203125" customWidth="1"/>
    <col min="1013" max="1013" width="2.6640625" customWidth="1"/>
    <col min="1014" max="1014" width="0.88671875" customWidth="1"/>
    <col min="1015" max="1015" width="12.5546875" bestFit="1" customWidth="1"/>
    <col min="1016" max="1016" width="4.6640625" customWidth="1"/>
    <col min="1017" max="1017" width="1.6640625" customWidth="1"/>
    <col min="1018" max="1018" width="4.6640625" customWidth="1"/>
    <col min="1019" max="1019" width="1.6640625" customWidth="1"/>
    <col min="1020" max="1020" width="4.6640625" customWidth="1"/>
    <col min="1021" max="1022" width="8.6640625" customWidth="1"/>
    <col min="1023" max="1023" width="11.33203125" bestFit="1" customWidth="1"/>
    <col min="1024" max="1024" width="17.5546875" customWidth="1"/>
    <col min="1025" max="1025" width="0.88671875" customWidth="1"/>
    <col min="1027" max="1027" width="12.88671875" bestFit="1" customWidth="1"/>
    <col min="1029" max="1029" width="71.33203125" customWidth="1"/>
    <col min="1269" max="1269" width="2.6640625" customWidth="1"/>
    <col min="1270" max="1270" width="0.88671875" customWidth="1"/>
    <col min="1271" max="1271" width="12.5546875" bestFit="1" customWidth="1"/>
    <col min="1272" max="1272" width="4.6640625" customWidth="1"/>
    <col min="1273" max="1273" width="1.6640625" customWidth="1"/>
    <col min="1274" max="1274" width="4.6640625" customWidth="1"/>
    <col min="1275" max="1275" width="1.6640625" customWidth="1"/>
    <col min="1276" max="1276" width="4.6640625" customWidth="1"/>
    <col min="1277" max="1278" width="8.6640625" customWidth="1"/>
    <col min="1279" max="1279" width="11.33203125" bestFit="1" customWidth="1"/>
    <col min="1280" max="1280" width="17.5546875" customWidth="1"/>
    <col min="1281" max="1281" width="0.88671875" customWidth="1"/>
    <col min="1283" max="1283" width="12.88671875" bestFit="1" customWidth="1"/>
    <col min="1285" max="1285" width="71.33203125" customWidth="1"/>
    <col min="1525" max="1525" width="2.6640625" customWidth="1"/>
    <col min="1526" max="1526" width="0.88671875" customWidth="1"/>
    <col min="1527" max="1527" width="12.5546875" bestFit="1" customWidth="1"/>
    <col min="1528" max="1528" width="4.6640625" customWidth="1"/>
    <col min="1529" max="1529" width="1.6640625" customWidth="1"/>
    <col min="1530" max="1530" width="4.6640625" customWidth="1"/>
    <col min="1531" max="1531" width="1.6640625" customWidth="1"/>
    <col min="1532" max="1532" width="4.6640625" customWidth="1"/>
    <col min="1533" max="1534" width="8.6640625" customWidth="1"/>
    <col min="1535" max="1535" width="11.33203125" bestFit="1" customWidth="1"/>
    <col min="1536" max="1536" width="17.5546875" customWidth="1"/>
    <col min="1537" max="1537" width="0.88671875" customWidth="1"/>
    <col min="1539" max="1539" width="12.88671875" bestFit="1" customWidth="1"/>
    <col min="1541" max="1541" width="71.33203125" customWidth="1"/>
    <col min="1781" max="1781" width="2.6640625" customWidth="1"/>
    <col min="1782" max="1782" width="0.88671875" customWidth="1"/>
    <col min="1783" max="1783" width="12.5546875" bestFit="1" customWidth="1"/>
    <col min="1784" max="1784" width="4.6640625" customWidth="1"/>
    <col min="1785" max="1785" width="1.6640625" customWidth="1"/>
    <col min="1786" max="1786" width="4.6640625" customWidth="1"/>
    <col min="1787" max="1787" width="1.6640625" customWidth="1"/>
    <col min="1788" max="1788" width="4.6640625" customWidth="1"/>
    <col min="1789" max="1790" width="8.6640625" customWidth="1"/>
    <col min="1791" max="1791" width="11.33203125" bestFit="1" customWidth="1"/>
    <col min="1792" max="1792" width="17.5546875" customWidth="1"/>
    <col min="1793" max="1793" width="0.88671875" customWidth="1"/>
    <col min="1795" max="1795" width="12.88671875" bestFit="1" customWidth="1"/>
    <col min="1797" max="1797" width="71.33203125" customWidth="1"/>
    <col min="2037" max="2037" width="2.6640625" customWidth="1"/>
    <col min="2038" max="2038" width="0.88671875" customWidth="1"/>
    <col min="2039" max="2039" width="12.5546875" bestFit="1" customWidth="1"/>
    <col min="2040" max="2040" width="4.6640625" customWidth="1"/>
    <col min="2041" max="2041" width="1.6640625" customWidth="1"/>
    <col min="2042" max="2042" width="4.6640625" customWidth="1"/>
    <col min="2043" max="2043" width="1.6640625" customWidth="1"/>
    <col min="2044" max="2044" width="4.6640625" customWidth="1"/>
    <col min="2045" max="2046" width="8.6640625" customWidth="1"/>
    <col min="2047" max="2047" width="11.33203125" bestFit="1" customWidth="1"/>
    <col min="2048" max="2048" width="17.5546875" customWidth="1"/>
    <col min="2049" max="2049" width="0.88671875" customWidth="1"/>
    <col min="2051" max="2051" width="12.88671875" bestFit="1" customWidth="1"/>
    <col min="2053" max="2053" width="71.33203125" customWidth="1"/>
    <col min="2293" max="2293" width="2.6640625" customWidth="1"/>
    <col min="2294" max="2294" width="0.88671875" customWidth="1"/>
    <col min="2295" max="2295" width="12.5546875" bestFit="1" customWidth="1"/>
    <col min="2296" max="2296" width="4.6640625" customWidth="1"/>
    <col min="2297" max="2297" width="1.6640625" customWidth="1"/>
    <col min="2298" max="2298" width="4.6640625" customWidth="1"/>
    <col min="2299" max="2299" width="1.6640625" customWidth="1"/>
    <col min="2300" max="2300" width="4.6640625" customWidth="1"/>
    <col min="2301" max="2302" width="8.6640625" customWidth="1"/>
    <col min="2303" max="2303" width="11.33203125" bestFit="1" customWidth="1"/>
    <col min="2304" max="2304" width="17.5546875" customWidth="1"/>
    <col min="2305" max="2305" width="0.88671875" customWidth="1"/>
    <col min="2307" max="2307" width="12.88671875" bestFit="1" customWidth="1"/>
    <col min="2309" max="2309" width="71.33203125" customWidth="1"/>
    <col min="2549" max="2549" width="2.6640625" customWidth="1"/>
    <col min="2550" max="2550" width="0.88671875" customWidth="1"/>
    <col min="2551" max="2551" width="12.5546875" bestFit="1" customWidth="1"/>
    <col min="2552" max="2552" width="4.6640625" customWidth="1"/>
    <col min="2553" max="2553" width="1.6640625" customWidth="1"/>
    <col min="2554" max="2554" width="4.6640625" customWidth="1"/>
    <col min="2555" max="2555" width="1.6640625" customWidth="1"/>
    <col min="2556" max="2556" width="4.6640625" customWidth="1"/>
    <col min="2557" max="2558" width="8.6640625" customWidth="1"/>
    <col min="2559" max="2559" width="11.33203125" bestFit="1" customWidth="1"/>
    <col min="2560" max="2560" width="17.5546875" customWidth="1"/>
    <col min="2561" max="2561" width="0.88671875" customWidth="1"/>
    <col min="2563" max="2563" width="12.88671875" bestFit="1" customWidth="1"/>
    <col min="2565" max="2565" width="71.33203125" customWidth="1"/>
    <col min="2805" max="2805" width="2.6640625" customWidth="1"/>
    <col min="2806" max="2806" width="0.88671875" customWidth="1"/>
    <col min="2807" max="2807" width="12.5546875" bestFit="1" customWidth="1"/>
    <col min="2808" max="2808" width="4.6640625" customWidth="1"/>
    <col min="2809" max="2809" width="1.6640625" customWidth="1"/>
    <col min="2810" max="2810" width="4.6640625" customWidth="1"/>
    <col min="2811" max="2811" width="1.6640625" customWidth="1"/>
    <col min="2812" max="2812" width="4.6640625" customWidth="1"/>
    <col min="2813" max="2814" width="8.6640625" customWidth="1"/>
    <col min="2815" max="2815" width="11.33203125" bestFit="1" customWidth="1"/>
    <col min="2816" max="2816" width="17.5546875" customWidth="1"/>
    <col min="2817" max="2817" width="0.88671875" customWidth="1"/>
    <col min="2819" max="2819" width="12.88671875" bestFit="1" customWidth="1"/>
    <col min="2821" max="2821" width="71.33203125" customWidth="1"/>
    <col min="3061" max="3061" width="2.6640625" customWidth="1"/>
    <col min="3062" max="3062" width="0.88671875" customWidth="1"/>
    <col min="3063" max="3063" width="12.5546875" bestFit="1" customWidth="1"/>
    <col min="3064" max="3064" width="4.6640625" customWidth="1"/>
    <col min="3065" max="3065" width="1.6640625" customWidth="1"/>
    <col min="3066" max="3066" width="4.6640625" customWidth="1"/>
    <col min="3067" max="3067" width="1.6640625" customWidth="1"/>
    <col min="3068" max="3068" width="4.6640625" customWidth="1"/>
    <col min="3069" max="3070" width="8.6640625" customWidth="1"/>
    <col min="3071" max="3071" width="11.33203125" bestFit="1" customWidth="1"/>
    <col min="3072" max="3072" width="17.5546875" customWidth="1"/>
    <col min="3073" max="3073" width="0.88671875" customWidth="1"/>
    <col min="3075" max="3075" width="12.88671875" bestFit="1" customWidth="1"/>
    <col min="3077" max="3077" width="71.33203125" customWidth="1"/>
    <col min="3317" max="3317" width="2.6640625" customWidth="1"/>
    <col min="3318" max="3318" width="0.88671875" customWidth="1"/>
    <col min="3319" max="3319" width="12.5546875" bestFit="1" customWidth="1"/>
    <col min="3320" max="3320" width="4.6640625" customWidth="1"/>
    <col min="3321" max="3321" width="1.6640625" customWidth="1"/>
    <col min="3322" max="3322" width="4.6640625" customWidth="1"/>
    <col min="3323" max="3323" width="1.6640625" customWidth="1"/>
    <col min="3324" max="3324" width="4.6640625" customWidth="1"/>
    <col min="3325" max="3326" width="8.6640625" customWidth="1"/>
    <col min="3327" max="3327" width="11.33203125" bestFit="1" customWidth="1"/>
    <col min="3328" max="3328" width="17.5546875" customWidth="1"/>
    <col min="3329" max="3329" width="0.88671875" customWidth="1"/>
    <col min="3331" max="3331" width="12.88671875" bestFit="1" customWidth="1"/>
    <col min="3333" max="3333" width="71.33203125" customWidth="1"/>
    <col min="3573" max="3573" width="2.6640625" customWidth="1"/>
    <col min="3574" max="3574" width="0.88671875" customWidth="1"/>
    <col min="3575" max="3575" width="12.5546875" bestFit="1" customWidth="1"/>
    <col min="3576" max="3576" width="4.6640625" customWidth="1"/>
    <col min="3577" max="3577" width="1.6640625" customWidth="1"/>
    <col min="3578" max="3578" width="4.6640625" customWidth="1"/>
    <col min="3579" max="3579" width="1.6640625" customWidth="1"/>
    <col min="3580" max="3580" width="4.6640625" customWidth="1"/>
    <col min="3581" max="3582" width="8.6640625" customWidth="1"/>
    <col min="3583" max="3583" width="11.33203125" bestFit="1" customWidth="1"/>
    <col min="3584" max="3584" width="17.5546875" customWidth="1"/>
    <col min="3585" max="3585" width="0.88671875" customWidth="1"/>
    <col min="3587" max="3587" width="12.88671875" bestFit="1" customWidth="1"/>
    <col min="3589" max="3589" width="71.33203125" customWidth="1"/>
    <col min="3829" max="3829" width="2.6640625" customWidth="1"/>
    <col min="3830" max="3830" width="0.88671875" customWidth="1"/>
    <col min="3831" max="3831" width="12.5546875" bestFit="1" customWidth="1"/>
    <col min="3832" max="3832" width="4.6640625" customWidth="1"/>
    <col min="3833" max="3833" width="1.6640625" customWidth="1"/>
    <col min="3834" max="3834" width="4.6640625" customWidth="1"/>
    <col min="3835" max="3835" width="1.6640625" customWidth="1"/>
    <col min="3836" max="3836" width="4.6640625" customWidth="1"/>
    <col min="3837" max="3838" width="8.6640625" customWidth="1"/>
    <col min="3839" max="3839" width="11.33203125" bestFit="1" customWidth="1"/>
    <col min="3840" max="3840" width="17.5546875" customWidth="1"/>
    <col min="3841" max="3841" width="0.88671875" customWidth="1"/>
    <col min="3843" max="3843" width="12.88671875" bestFit="1" customWidth="1"/>
    <col min="3845" max="3845" width="71.33203125" customWidth="1"/>
    <col min="4085" max="4085" width="2.6640625" customWidth="1"/>
    <col min="4086" max="4086" width="0.88671875" customWidth="1"/>
    <col min="4087" max="4087" width="12.5546875" bestFit="1" customWidth="1"/>
    <col min="4088" max="4088" width="4.6640625" customWidth="1"/>
    <col min="4089" max="4089" width="1.6640625" customWidth="1"/>
    <col min="4090" max="4090" width="4.6640625" customWidth="1"/>
    <col min="4091" max="4091" width="1.6640625" customWidth="1"/>
    <col min="4092" max="4092" width="4.6640625" customWidth="1"/>
    <col min="4093" max="4094" width="8.6640625" customWidth="1"/>
    <col min="4095" max="4095" width="11.33203125" bestFit="1" customWidth="1"/>
    <col min="4096" max="4096" width="17.5546875" customWidth="1"/>
    <col min="4097" max="4097" width="0.88671875" customWidth="1"/>
    <col min="4099" max="4099" width="12.88671875" bestFit="1" customWidth="1"/>
    <col min="4101" max="4101" width="71.33203125" customWidth="1"/>
    <col min="4341" max="4341" width="2.6640625" customWidth="1"/>
    <col min="4342" max="4342" width="0.88671875" customWidth="1"/>
    <col min="4343" max="4343" width="12.5546875" bestFit="1" customWidth="1"/>
    <col min="4344" max="4344" width="4.6640625" customWidth="1"/>
    <col min="4345" max="4345" width="1.6640625" customWidth="1"/>
    <col min="4346" max="4346" width="4.6640625" customWidth="1"/>
    <col min="4347" max="4347" width="1.6640625" customWidth="1"/>
    <col min="4348" max="4348" width="4.6640625" customWidth="1"/>
    <col min="4349" max="4350" width="8.6640625" customWidth="1"/>
    <col min="4351" max="4351" width="11.33203125" bestFit="1" customWidth="1"/>
    <col min="4352" max="4352" width="17.5546875" customWidth="1"/>
    <col min="4353" max="4353" width="0.88671875" customWidth="1"/>
    <col min="4355" max="4355" width="12.88671875" bestFit="1" customWidth="1"/>
    <col min="4357" max="4357" width="71.33203125" customWidth="1"/>
    <col min="4597" max="4597" width="2.6640625" customWidth="1"/>
    <col min="4598" max="4598" width="0.88671875" customWidth="1"/>
    <col min="4599" max="4599" width="12.5546875" bestFit="1" customWidth="1"/>
    <col min="4600" max="4600" width="4.6640625" customWidth="1"/>
    <col min="4601" max="4601" width="1.6640625" customWidth="1"/>
    <col min="4602" max="4602" width="4.6640625" customWidth="1"/>
    <col min="4603" max="4603" width="1.6640625" customWidth="1"/>
    <col min="4604" max="4604" width="4.6640625" customWidth="1"/>
    <col min="4605" max="4606" width="8.6640625" customWidth="1"/>
    <col min="4607" max="4607" width="11.33203125" bestFit="1" customWidth="1"/>
    <col min="4608" max="4608" width="17.5546875" customWidth="1"/>
    <col min="4609" max="4609" width="0.88671875" customWidth="1"/>
    <col min="4611" max="4611" width="12.88671875" bestFit="1" customWidth="1"/>
    <col min="4613" max="4613" width="71.33203125" customWidth="1"/>
    <col min="4853" max="4853" width="2.6640625" customWidth="1"/>
    <col min="4854" max="4854" width="0.88671875" customWidth="1"/>
    <col min="4855" max="4855" width="12.5546875" bestFit="1" customWidth="1"/>
    <col min="4856" max="4856" width="4.6640625" customWidth="1"/>
    <col min="4857" max="4857" width="1.6640625" customWidth="1"/>
    <col min="4858" max="4858" width="4.6640625" customWidth="1"/>
    <col min="4859" max="4859" width="1.6640625" customWidth="1"/>
    <col min="4860" max="4860" width="4.6640625" customWidth="1"/>
    <col min="4861" max="4862" width="8.6640625" customWidth="1"/>
    <col min="4863" max="4863" width="11.33203125" bestFit="1" customWidth="1"/>
    <col min="4864" max="4864" width="17.5546875" customWidth="1"/>
    <col min="4865" max="4865" width="0.88671875" customWidth="1"/>
    <col min="4867" max="4867" width="12.88671875" bestFit="1" customWidth="1"/>
    <col min="4869" max="4869" width="71.33203125" customWidth="1"/>
    <col min="5109" max="5109" width="2.6640625" customWidth="1"/>
    <col min="5110" max="5110" width="0.88671875" customWidth="1"/>
    <col min="5111" max="5111" width="12.5546875" bestFit="1" customWidth="1"/>
    <col min="5112" max="5112" width="4.6640625" customWidth="1"/>
    <col min="5113" max="5113" width="1.6640625" customWidth="1"/>
    <col min="5114" max="5114" width="4.6640625" customWidth="1"/>
    <col min="5115" max="5115" width="1.6640625" customWidth="1"/>
    <col min="5116" max="5116" width="4.6640625" customWidth="1"/>
    <col min="5117" max="5118" width="8.6640625" customWidth="1"/>
    <col min="5119" max="5119" width="11.33203125" bestFit="1" customWidth="1"/>
    <col min="5120" max="5120" width="17.5546875" customWidth="1"/>
    <col min="5121" max="5121" width="0.88671875" customWidth="1"/>
    <col min="5123" max="5123" width="12.88671875" bestFit="1" customWidth="1"/>
    <col min="5125" max="5125" width="71.33203125" customWidth="1"/>
    <col min="5365" max="5365" width="2.6640625" customWidth="1"/>
    <col min="5366" max="5366" width="0.88671875" customWidth="1"/>
    <col min="5367" max="5367" width="12.5546875" bestFit="1" customWidth="1"/>
    <col min="5368" max="5368" width="4.6640625" customWidth="1"/>
    <col min="5369" max="5369" width="1.6640625" customWidth="1"/>
    <col min="5370" max="5370" width="4.6640625" customWidth="1"/>
    <col min="5371" max="5371" width="1.6640625" customWidth="1"/>
    <col min="5372" max="5372" width="4.6640625" customWidth="1"/>
    <col min="5373" max="5374" width="8.6640625" customWidth="1"/>
    <col min="5375" max="5375" width="11.33203125" bestFit="1" customWidth="1"/>
    <col min="5376" max="5376" width="17.5546875" customWidth="1"/>
    <col min="5377" max="5377" width="0.88671875" customWidth="1"/>
    <col min="5379" max="5379" width="12.88671875" bestFit="1" customWidth="1"/>
    <col min="5381" max="5381" width="71.33203125" customWidth="1"/>
    <col min="5621" max="5621" width="2.6640625" customWidth="1"/>
    <col min="5622" max="5622" width="0.88671875" customWidth="1"/>
    <col min="5623" max="5623" width="12.5546875" bestFit="1" customWidth="1"/>
    <col min="5624" max="5624" width="4.6640625" customWidth="1"/>
    <col min="5625" max="5625" width="1.6640625" customWidth="1"/>
    <col min="5626" max="5626" width="4.6640625" customWidth="1"/>
    <col min="5627" max="5627" width="1.6640625" customWidth="1"/>
    <col min="5628" max="5628" width="4.6640625" customWidth="1"/>
    <col min="5629" max="5630" width="8.6640625" customWidth="1"/>
    <col min="5631" max="5631" width="11.33203125" bestFit="1" customWidth="1"/>
    <col min="5632" max="5632" width="17.5546875" customWidth="1"/>
    <col min="5633" max="5633" width="0.88671875" customWidth="1"/>
    <col min="5635" max="5635" width="12.88671875" bestFit="1" customWidth="1"/>
    <col min="5637" max="5637" width="71.33203125" customWidth="1"/>
    <col min="5877" max="5877" width="2.6640625" customWidth="1"/>
    <col min="5878" max="5878" width="0.88671875" customWidth="1"/>
    <col min="5879" max="5879" width="12.5546875" bestFit="1" customWidth="1"/>
    <col min="5880" max="5880" width="4.6640625" customWidth="1"/>
    <col min="5881" max="5881" width="1.6640625" customWidth="1"/>
    <col min="5882" max="5882" width="4.6640625" customWidth="1"/>
    <col min="5883" max="5883" width="1.6640625" customWidth="1"/>
    <col min="5884" max="5884" width="4.6640625" customWidth="1"/>
    <col min="5885" max="5886" width="8.6640625" customWidth="1"/>
    <col min="5887" max="5887" width="11.33203125" bestFit="1" customWidth="1"/>
    <col min="5888" max="5888" width="17.5546875" customWidth="1"/>
    <col min="5889" max="5889" width="0.88671875" customWidth="1"/>
    <col min="5891" max="5891" width="12.88671875" bestFit="1" customWidth="1"/>
    <col min="5893" max="5893" width="71.33203125" customWidth="1"/>
    <col min="6133" max="6133" width="2.6640625" customWidth="1"/>
    <col min="6134" max="6134" width="0.88671875" customWidth="1"/>
    <col min="6135" max="6135" width="12.5546875" bestFit="1" customWidth="1"/>
    <col min="6136" max="6136" width="4.6640625" customWidth="1"/>
    <col min="6137" max="6137" width="1.6640625" customWidth="1"/>
    <col min="6138" max="6138" width="4.6640625" customWidth="1"/>
    <col min="6139" max="6139" width="1.6640625" customWidth="1"/>
    <col min="6140" max="6140" width="4.6640625" customWidth="1"/>
    <col min="6141" max="6142" width="8.6640625" customWidth="1"/>
    <col min="6143" max="6143" width="11.33203125" bestFit="1" customWidth="1"/>
    <col min="6144" max="6144" width="17.5546875" customWidth="1"/>
    <col min="6145" max="6145" width="0.88671875" customWidth="1"/>
    <col min="6147" max="6147" width="12.88671875" bestFit="1" customWidth="1"/>
    <col min="6149" max="6149" width="71.33203125" customWidth="1"/>
    <col min="6389" max="6389" width="2.6640625" customWidth="1"/>
    <col min="6390" max="6390" width="0.88671875" customWidth="1"/>
    <col min="6391" max="6391" width="12.5546875" bestFit="1" customWidth="1"/>
    <col min="6392" max="6392" width="4.6640625" customWidth="1"/>
    <col min="6393" max="6393" width="1.6640625" customWidth="1"/>
    <col min="6394" max="6394" width="4.6640625" customWidth="1"/>
    <col min="6395" max="6395" width="1.6640625" customWidth="1"/>
    <col min="6396" max="6396" width="4.6640625" customWidth="1"/>
    <col min="6397" max="6398" width="8.6640625" customWidth="1"/>
    <col min="6399" max="6399" width="11.33203125" bestFit="1" customWidth="1"/>
    <col min="6400" max="6400" width="17.5546875" customWidth="1"/>
    <col min="6401" max="6401" width="0.88671875" customWidth="1"/>
    <col min="6403" max="6403" width="12.88671875" bestFit="1" customWidth="1"/>
    <col min="6405" max="6405" width="71.33203125" customWidth="1"/>
    <col min="6645" max="6645" width="2.6640625" customWidth="1"/>
    <col min="6646" max="6646" width="0.88671875" customWidth="1"/>
    <col min="6647" max="6647" width="12.5546875" bestFit="1" customWidth="1"/>
    <col min="6648" max="6648" width="4.6640625" customWidth="1"/>
    <col min="6649" max="6649" width="1.6640625" customWidth="1"/>
    <col min="6650" max="6650" width="4.6640625" customWidth="1"/>
    <col min="6651" max="6651" width="1.6640625" customWidth="1"/>
    <col min="6652" max="6652" width="4.6640625" customWidth="1"/>
    <col min="6653" max="6654" width="8.6640625" customWidth="1"/>
    <col min="6655" max="6655" width="11.33203125" bestFit="1" customWidth="1"/>
    <col min="6656" max="6656" width="17.5546875" customWidth="1"/>
    <col min="6657" max="6657" width="0.88671875" customWidth="1"/>
    <col min="6659" max="6659" width="12.88671875" bestFit="1" customWidth="1"/>
    <col min="6661" max="6661" width="71.33203125" customWidth="1"/>
    <col min="6901" max="6901" width="2.6640625" customWidth="1"/>
    <col min="6902" max="6902" width="0.88671875" customWidth="1"/>
    <col min="6903" max="6903" width="12.5546875" bestFit="1" customWidth="1"/>
    <col min="6904" max="6904" width="4.6640625" customWidth="1"/>
    <col min="6905" max="6905" width="1.6640625" customWidth="1"/>
    <col min="6906" max="6906" width="4.6640625" customWidth="1"/>
    <col min="6907" max="6907" width="1.6640625" customWidth="1"/>
    <col min="6908" max="6908" width="4.6640625" customWidth="1"/>
    <col min="6909" max="6910" width="8.6640625" customWidth="1"/>
    <col min="6911" max="6911" width="11.33203125" bestFit="1" customWidth="1"/>
    <col min="6912" max="6912" width="17.5546875" customWidth="1"/>
    <col min="6913" max="6913" width="0.88671875" customWidth="1"/>
    <col min="6915" max="6915" width="12.88671875" bestFit="1" customWidth="1"/>
    <col min="6917" max="6917" width="71.33203125" customWidth="1"/>
    <col min="7157" max="7157" width="2.6640625" customWidth="1"/>
    <col min="7158" max="7158" width="0.88671875" customWidth="1"/>
    <col min="7159" max="7159" width="12.5546875" bestFit="1" customWidth="1"/>
    <col min="7160" max="7160" width="4.6640625" customWidth="1"/>
    <col min="7161" max="7161" width="1.6640625" customWidth="1"/>
    <col min="7162" max="7162" width="4.6640625" customWidth="1"/>
    <col min="7163" max="7163" width="1.6640625" customWidth="1"/>
    <col min="7164" max="7164" width="4.6640625" customWidth="1"/>
    <col min="7165" max="7166" width="8.6640625" customWidth="1"/>
    <col min="7167" max="7167" width="11.33203125" bestFit="1" customWidth="1"/>
    <col min="7168" max="7168" width="17.5546875" customWidth="1"/>
    <col min="7169" max="7169" width="0.88671875" customWidth="1"/>
    <col min="7171" max="7171" width="12.88671875" bestFit="1" customWidth="1"/>
    <col min="7173" max="7173" width="71.33203125" customWidth="1"/>
    <col min="7413" max="7413" width="2.6640625" customWidth="1"/>
    <col min="7414" max="7414" width="0.88671875" customWidth="1"/>
    <col min="7415" max="7415" width="12.5546875" bestFit="1" customWidth="1"/>
    <col min="7416" max="7416" width="4.6640625" customWidth="1"/>
    <col min="7417" max="7417" width="1.6640625" customWidth="1"/>
    <col min="7418" max="7418" width="4.6640625" customWidth="1"/>
    <col min="7419" max="7419" width="1.6640625" customWidth="1"/>
    <col min="7420" max="7420" width="4.6640625" customWidth="1"/>
    <col min="7421" max="7422" width="8.6640625" customWidth="1"/>
    <col min="7423" max="7423" width="11.33203125" bestFit="1" customWidth="1"/>
    <col min="7424" max="7424" width="17.5546875" customWidth="1"/>
    <col min="7425" max="7425" width="0.88671875" customWidth="1"/>
    <col min="7427" max="7427" width="12.88671875" bestFit="1" customWidth="1"/>
    <col min="7429" max="7429" width="71.33203125" customWidth="1"/>
    <col min="7669" max="7669" width="2.6640625" customWidth="1"/>
    <col min="7670" max="7670" width="0.88671875" customWidth="1"/>
    <col min="7671" max="7671" width="12.5546875" bestFit="1" customWidth="1"/>
    <col min="7672" max="7672" width="4.6640625" customWidth="1"/>
    <col min="7673" max="7673" width="1.6640625" customWidth="1"/>
    <col min="7674" max="7674" width="4.6640625" customWidth="1"/>
    <col min="7675" max="7675" width="1.6640625" customWidth="1"/>
    <col min="7676" max="7676" width="4.6640625" customWidth="1"/>
    <col min="7677" max="7678" width="8.6640625" customWidth="1"/>
    <col min="7679" max="7679" width="11.33203125" bestFit="1" customWidth="1"/>
    <col min="7680" max="7680" width="17.5546875" customWidth="1"/>
    <col min="7681" max="7681" width="0.88671875" customWidth="1"/>
    <col min="7683" max="7683" width="12.88671875" bestFit="1" customWidth="1"/>
    <col min="7685" max="7685" width="71.33203125" customWidth="1"/>
    <col min="7925" max="7925" width="2.6640625" customWidth="1"/>
    <col min="7926" max="7926" width="0.88671875" customWidth="1"/>
    <col min="7927" max="7927" width="12.5546875" bestFit="1" customWidth="1"/>
    <col min="7928" max="7928" width="4.6640625" customWidth="1"/>
    <col min="7929" max="7929" width="1.6640625" customWidth="1"/>
    <col min="7930" max="7930" width="4.6640625" customWidth="1"/>
    <col min="7931" max="7931" width="1.6640625" customWidth="1"/>
    <col min="7932" max="7932" width="4.6640625" customWidth="1"/>
    <col min="7933" max="7934" width="8.6640625" customWidth="1"/>
    <col min="7935" max="7935" width="11.33203125" bestFit="1" customWidth="1"/>
    <col min="7936" max="7936" width="17.5546875" customWidth="1"/>
    <col min="7937" max="7937" width="0.88671875" customWidth="1"/>
    <col min="7939" max="7939" width="12.88671875" bestFit="1" customWidth="1"/>
    <col min="7941" max="7941" width="71.33203125" customWidth="1"/>
    <col min="8181" max="8181" width="2.6640625" customWidth="1"/>
    <col min="8182" max="8182" width="0.88671875" customWidth="1"/>
    <col min="8183" max="8183" width="12.5546875" bestFit="1" customWidth="1"/>
    <col min="8184" max="8184" width="4.6640625" customWidth="1"/>
    <col min="8185" max="8185" width="1.6640625" customWidth="1"/>
    <col min="8186" max="8186" width="4.6640625" customWidth="1"/>
    <col min="8187" max="8187" width="1.6640625" customWidth="1"/>
    <col min="8188" max="8188" width="4.6640625" customWidth="1"/>
    <col min="8189" max="8190" width="8.6640625" customWidth="1"/>
    <col min="8191" max="8191" width="11.33203125" bestFit="1" customWidth="1"/>
    <col min="8192" max="8192" width="17.5546875" customWidth="1"/>
    <col min="8193" max="8193" width="0.88671875" customWidth="1"/>
    <col min="8195" max="8195" width="12.88671875" bestFit="1" customWidth="1"/>
    <col min="8197" max="8197" width="71.33203125" customWidth="1"/>
    <col min="8437" max="8437" width="2.6640625" customWidth="1"/>
    <col min="8438" max="8438" width="0.88671875" customWidth="1"/>
    <col min="8439" max="8439" width="12.5546875" bestFit="1" customWidth="1"/>
    <col min="8440" max="8440" width="4.6640625" customWidth="1"/>
    <col min="8441" max="8441" width="1.6640625" customWidth="1"/>
    <col min="8442" max="8442" width="4.6640625" customWidth="1"/>
    <col min="8443" max="8443" width="1.6640625" customWidth="1"/>
    <col min="8444" max="8444" width="4.6640625" customWidth="1"/>
    <col min="8445" max="8446" width="8.6640625" customWidth="1"/>
    <col min="8447" max="8447" width="11.33203125" bestFit="1" customWidth="1"/>
    <col min="8448" max="8448" width="17.5546875" customWidth="1"/>
    <col min="8449" max="8449" width="0.88671875" customWidth="1"/>
    <col min="8451" max="8451" width="12.88671875" bestFit="1" customWidth="1"/>
    <col min="8453" max="8453" width="71.33203125" customWidth="1"/>
    <col min="8693" max="8693" width="2.6640625" customWidth="1"/>
    <col min="8694" max="8694" width="0.88671875" customWidth="1"/>
    <col min="8695" max="8695" width="12.5546875" bestFit="1" customWidth="1"/>
    <col min="8696" max="8696" width="4.6640625" customWidth="1"/>
    <col min="8697" max="8697" width="1.6640625" customWidth="1"/>
    <col min="8698" max="8698" width="4.6640625" customWidth="1"/>
    <col min="8699" max="8699" width="1.6640625" customWidth="1"/>
    <col min="8700" max="8700" width="4.6640625" customWidth="1"/>
    <col min="8701" max="8702" width="8.6640625" customWidth="1"/>
    <col min="8703" max="8703" width="11.33203125" bestFit="1" customWidth="1"/>
    <col min="8704" max="8704" width="17.5546875" customWidth="1"/>
    <col min="8705" max="8705" width="0.88671875" customWidth="1"/>
    <col min="8707" max="8707" width="12.88671875" bestFit="1" customWidth="1"/>
    <col min="8709" max="8709" width="71.33203125" customWidth="1"/>
    <col min="8949" max="8949" width="2.6640625" customWidth="1"/>
    <col min="8950" max="8950" width="0.88671875" customWidth="1"/>
    <col min="8951" max="8951" width="12.5546875" bestFit="1" customWidth="1"/>
    <col min="8952" max="8952" width="4.6640625" customWidth="1"/>
    <col min="8953" max="8953" width="1.6640625" customWidth="1"/>
    <col min="8954" max="8954" width="4.6640625" customWidth="1"/>
    <col min="8955" max="8955" width="1.6640625" customWidth="1"/>
    <col min="8956" max="8956" width="4.6640625" customWidth="1"/>
    <col min="8957" max="8958" width="8.6640625" customWidth="1"/>
    <col min="8959" max="8959" width="11.33203125" bestFit="1" customWidth="1"/>
    <col min="8960" max="8960" width="17.5546875" customWidth="1"/>
    <col min="8961" max="8961" width="0.88671875" customWidth="1"/>
    <col min="8963" max="8963" width="12.88671875" bestFit="1" customWidth="1"/>
    <col min="8965" max="8965" width="71.33203125" customWidth="1"/>
    <col min="9205" max="9205" width="2.6640625" customWidth="1"/>
    <col min="9206" max="9206" width="0.88671875" customWidth="1"/>
    <col min="9207" max="9207" width="12.5546875" bestFit="1" customWidth="1"/>
    <col min="9208" max="9208" width="4.6640625" customWidth="1"/>
    <col min="9209" max="9209" width="1.6640625" customWidth="1"/>
    <col min="9210" max="9210" width="4.6640625" customWidth="1"/>
    <col min="9211" max="9211" width="1.6640625" customWidth="1"/>
    <col min="9212" max="9212" width="4.6640625" customWidth="1"/>
    <col min="9213" max="9214" width="8.6640625" customWidth="1"/>
    <col min="9215" max="9215" width="11.33203125" bestFit="1" customWidth="1"/>
    <col min="9216" max="9216" width="17.5546875" customWidth="1"/>
    <col min="9217" max="9217" width="0.88671875" customWidth="1"/>
    <col min="9219" max="9219" width="12.88671875" bestFit="1" customWidth="1"/>
    <col min="9221" max="9221" width="71.33203125" customWidth="1"/>
    <col min="9461" max="9461" width="2.6640625" customWidth="1"/>
    <col min="9462" max="9462" width="0.88671875" customWidth="1"/>
    <col min="9463" max="9463" width="12.5546875" bestFit="1" customWidth="1"/>
    <col min="9464" max="9464" width="4.6640625" customWidth="1"/>
    <col min="9465" max="9465" width="1.6640625" customWidth="1"/>
    <col min="9466" max="9466" width="4.6640625" customWidth="1"/>
    <col min="9467" max="9467" width="1.6640625" customWidth="1"/>
    <col min="9468" max="9468" width="4.6640625" customWidth="1"/>
    <col min="9469" max="9470" width="8.6640625" customWidth="1"/>
    <col min="9471" max="9471" width="11.33203125" bestFit="1" customWidth="1"/>
    <col min="9472" max="9472" width="17.5546875" customWidth="1"/>
    <col min="9473" max="9473" width="0.88671875" customWidth="1"/>
    <col min="9475" max="9475" width="12.88671875" bestFit="1" customWidth="1"/>
    <col min="9477" max="9477" width="71.33203125" customWidth="1"/>
    <col min="9717" max="9717" width="2.6640625" customWidth="1"/>
    <col min="9718" max="9718" width="0.88671875" customWidth="1"/>
    <col min="9719" max="9719" width="12.5546875" bestFit="1" customWidth="1"/>
    <col min="9720" max="9720" width="4.6640625" customWidth="1"/>
    <col min="9721" max="9721" width="1.6640625" customWidth="1"/>
    <col min="9722" max="9722" width="4.6640625" customWidth="1"/>
    <col min="9723" max="9723" width="1.6640625" customWidth="1"/>
    <col min="9724" max="9724" width="4.6640625" customWidth="1"/>
    <col min="9725" max="9726" width="8.6640625" customWidth="1"/>
    <col min="9727" max="9727" width="11.33203125" bestFit="1" customWidth="1"/>
    <col min="9728" max="9728" width="17.5546875" customWidth="1"/>
    <col min="9729" max="9729" width="0.88671875" customWidth="1"/>
    <col min="9731" max="9731" width="12.88671875" bestFit="1" customWidth="1"/>
    <col min="9733" max="9733" width="71.33203125" customWidth="1"/>
    <col min="9973" max="9973" width="2.6640625" customWidth="1"/>
    <col min="9974" max="9974" width="0.88671875" customWidth="1"/>
    <col min="9975" max="9975" width="12.5546875" bestFit="1" customWidth="1"/>
    <col min="9976" max="9976" width="4.6640625" customWidth="1"/>
    <col min="9977" max="9977" width="1.6640625" customWidth="1"/>
    <col min="9978" max="9978" width="4.6640625" customWidth="1"/>
    <col min="9979" max="9979" width="1.6640625" customWidth="1"/>
    <col min="9980" max="9980" width="4.6640625" customWidth="1"/>
    <col min="9981" max="9982" width="8.6640625" customWidth="1"/>
    <col min="9983" max="9983" width="11.33203125" bestFit="1" customWidth="1"/>
    <col min="9984" max="9984" width="17.5546875" customWidth="1"/>
    <col min="9985" max="9985" width="0.88671875" customWidth="1"/>
    <col min="9987" max="9987" width="12.88671875" bestFit="1" customWidth="1"/>
    <col min="9989" max="9989" width="71.33203125" customWidth="1"/>
    <col min="10229" max="10229" width="2.6640625" customWidth="1"/>
    <col min="10230" max="10230" width="0.88671875" customWidth="1"/>
    <col min="10231" max="10231" width="12.5546875" bestFit="1" customWidth="1"/>
    <col min="10232" max="10232" width="4.6640625" customWidth="1"/>
    <col min="10233" max="10233" width="1.6640625" customWidth="1"/>
    <col min="10234" max="10234" width="4.6640625" customWidth="1"/>
    <col min="10235" max="10235" width="1.6640625" customWidth="1"/>
    <col min="10236" max="10236" width="4.6640625" customWidth="1"/>
    <col min="10237" max="10238" width="8.6640625" customWidth="1"/>
    <col min="10239" max="10239" width="11.33203125" bestFit="1" customWidth="1"/>
    <col min="10240" max="10240" width="17.5546875" customWidth="1"/>
    <col min="10241" max="10241" width="0.88671875" customWidth="1"/>
    <col min="10243" max="10243" width="12.88671875" bestFit="1" customWidth="1"/>
    <col min="10245" max="10245" width="71.33203125" customWidth="1"/>
    <col min="10485" max="10485" width="2.6640625" customWidth="1"/>
    <col min="10486" max="10486" width="0.88671875" customWidth="1"/>
    <col min="10487" max="10487" width="12.5546875" bestFit="1" customWidth="1"/>
    <col min="10488" max="10488" width="4.6640625" customWidth="1"/>
    <col min="10489" max="10489" width="1.6640625" customWidth="1"/>
    <col min="10490" max="10490" width="4.6640625" customWidth="1"/>
    <col min="10491" max="10491" width="1.6640625" customWidth="1"/>
    <col min="10492" max="10492" width="4.6640625" customWidth="1"/>
    <col min="10493" max="10494" width="8.6640625" customWidth="1"/>
    <col min="10495" max="10495" width="11.33203125" bestFit="1" customWidth="1"/>
    <col min="10496" max="10496" width="17.5546875" customWidth="1"/>
    <col min="10497" max="10497" width="0.88671875" customWidth="1"/>
    <col min="10499" max="10499" width="12.88671875" bestFit="1" customWidth="1"/>
    <col min="10501" max="10501" width="71.33203125" customWidth="1"/>
    <col min="10741" max="10741" width="2.6640625" customWidth="1"/>
    <col min="10742" max="10742" width="0.88671875" customWidth="1"/>
    <col min="10743" max="10743" width="12.5546875" bestFit="1" customWidth="1"/>
    <col min="10744" max="10744" width="4.6640625" customWidth="1"/>
    <col min="10745" max="10745" width="1.6640625" customWidth="1"/>
    <col min="10746" max="10746" width="4.6640625" customWidth="1"/>
    <col min="10747" max="10747" width="1.6640625" customWidth="1"/>
    <col min="10748" max="10748" width="4.6640625" customWidth="1"/>
    <col min="10749" max="10750" width="8.6640625" customWidth="1"/>
    <col min="10751" max="10751" width="11.33203125" bestFit="1" customWidth="1"/>
    <col min="10752" max="10752" width="17.5546875" customWidth="1"/>
    <col min="10753" max="10753" width="0.88671875" customWidth="1"/>
    <col min="10755" max="10755" width="12.88671875" bestFit="1" customWidth="1"/>
    <col min="10757" max="10757" width="71.33203125" customWidth="1"/>
    <col min="10997" max="10997" width="2.6640625" customWidth="1"/>
    <col min="10998" max="10998" width="0.88671875" customWidth="1"/>
    <col min="10999" max="10999" width="12.5546875" bestFit="1" customWidth="1"/>
    <col min="11000" max="11000" width="4.6640625" customWidth="1"/>
    <col min="11001" max="11001" width="1.6640625" customWidth="1"/>
    <col min="11002" max="11002" width="4.6640625" customWidth="1"/>
    <col min="11003" max="11003" width="1.6640625" customWidth="1"/>
    <col min="11004" max="11004" width="4.6640625" customWidth="1"/>
    <col min="11005" max="11006" width="8.6640625" customWidth="1"/>
    <col min="11007" max="11007" width="11.33203125" bestFit="1" customWidth="1"/>
    <col min="11008" max="11008" width="17.5546875" customWidth="1"/>
    <col min="11009" max="11009" width="0.88671875" customWidth="1"/>
    <col min="11011" max="11011" width="12.88671875" bestFit="1" customWidth="1"/>
    <col min="11013" max="11013" width="71.33203125" customWidth="1"/>
    <col min="11253" max="11253" width="2.6640625" customWidth="1"/>
    <col min="11254" max="11254" width="0.88671875" customWidth="1"/>
    <col min="11255" max="11255" width="12.5546875" bestFit="1" customWidth="1"/>
    <col min="11256" max="11256" width="4.6640625" customWidth="1"/>
    <col min="11257" max="11257" width="1.6640625" customWidth="1"/>
    <col min="11258" max="11258" width="4.6640625" customWidth="1"/>
    <col min="11259" max="11259" width="1.6640625" customWidth="1"/>
    <col min="11260" max="11260" width="4.6640625" customWidth="1"/>
    <col min="11261" max="11262" width="8.6640625" customWidth="1"/>
    <col min="11263" max="11263" width="11.33203125" bestFit="1" customWidth="1"/>
    <col min="11264" max="11264" width="17.5546875" customWidth="1"/>
    <col min="11265" max="11265" width="0.88671875" customWidth="1"/>
    <col min="11267" max="11267" width="12.88671875" bestFit="1" customWidth="1"/>
    <col min="11269" max="11269" width="71.33203125" customWidth="1"/>
    <col min="11509" max="11509" width="2.6640625" customWidth="1"/>
    <col min="11510" max="11510" width="0.88671875" customWidth="1"/>
    <col min="11511" max="11511" width="12.5546875" bestFit="1" customWidth="1"/>
    <col min="11512" max="11512" width="4.6640625" customWidth="1"/>
    <col min="11513" max="11513" width="1.6640625" customWidth="1"/>
    <col min="11514" max="11514" width="4.6640625" customWidth="1"/>
    <col min="11515" max="11515" width="1.6640625" customWidth="1"/>
    <col min="11516" max="11516" width="4.6640625" customWidth="1"/>
    <col min="11517" max="11518" width="8.6640625" customWidth="1"/>
    <col min="11519" max="11519" width="11.33203125" bestFit="1" customWidth="1"/>
    <col min="11520" max="11520" width="17.5546875" customWidth="1"/>
    <col min="11521" max="11521" width="0.88671875" customWidth="1"/>
    <col min="11523" max="11523" width="12.88671875" bestFit="1" customWidth="1"/>
    <col min="11525" max="11525" width="71.33203125" customWidth="1"/>
    <col min="11765" max="11765" width="2.6640625" customWidth="1"/>
    <col min="11766" max="11766" width="0.88671875" customWidth="1"/>
    <col min="11767" max="11767" width="12.5546875" bestFit="1" customWidth="1"/>
    <col min="11768" max="11768" width="4.6640625" customWidth="1"/>
    <col min="11769" max="11769" width="1.6640625" customWidth="1"/>
    <col min="11770" max="11770" width="4.6640625" customWidth="1"/>
    <col min="11771" max="11771" width="1.6640625" customWidth="1"/>
    <col min="11772" max="11772" width="4.6640625" customWidth="1"/>
    <col min="11773" max="11774" width="8.6640625" customWidth="1"/>
    <col min="11775" max="11775" width="11.33203125" bestFit="1" customWidth="1"/>
    <col min="11776" max="11776" width="17.5546875" customWidth="1"/>
    <col min="11777" max="11777" width="0.88671875" customWidth="1"/>
    <col min="11779" max="11779" width="12.88671875" bestFit="1" customWidth="1"/>
    <col min="11781" max="11781" width="71.33203125" customWidth="1"/>
    <col min="12021" max="12021" width="2.6640625" customWidth="1"/>
    <col min="12022" max="12022" width="0.88671875" customWidth="1"/>
    <col min="12023" max="12023" width="12.5546875" bestFit="1" customWidth="1"/>
    <col min="12024" max="12024" width="4.6640625" customWidth="1"/>
    <col min="12025" max="12025" width="1.6640625" customWidth="1"/>
    <col min="12026" max="12026" width="4.6640625" customWidth="1"/>
    <col min="12027" max="12027" width="1.6640625" customWidth="1"/>
    <col min="12028" max="12028" width="4.6640625" customWidth="1"/>
    <col min="12029" max="12030" width="8.6640625" customWidth="1"/>
    <col min="12031" max="12031" width="11.33203125" bestFit="1" customWidth="1"/>
    <col min="12032" max="12032" width="17.5546875" customWidth="1"/>
    <col min="12033" max="12033" width="0.88671875" customWidth="1"/>
    <col min="12035" max="12035" width="12.88671875" bestFit="1" customWidth="1"/>
    <col min="12037" max="12037" width="71.33203125" customWidth="1"/>
    <col min="12277" max="12277" width="2.6640625" customWidth="1"/>
    <col min="12278" max="12278" width="0.88671875" customWidth="1"/>
    <col min="12279" max="12279" width="12.5546875" bestFit="1" customWidth="1"/>
    <col min="12280" max="12280" width="4.6640625" customWidth="1"/>
    <col min="12281" max="12281" width="1.6640625" customWidth="1"/>
    <col min="12282" max="12282" width="4.6640625" customWidth="1"/>
    <col min="12283" max="12283" width="1.6640625" customWidth="1"/>
    <col min="12284" max="12284" width="4.6640625" customWidth="1"/>
    <col min="12285" max="12286" width="8.6640625" customWidth="1"/>
    <col min="12287" max="12287" width="11.33203125" bestFit="1" customWidth="1"/>
    <col min="12288" max="12288" width="17.5546875" customWidth="1"/>
    <col min="12289" max="12289" width="0.88671875" customWidth="1"/>
    <col min="12291" max="12291" width="12.88671875" bestFit="1" customWidth="1"/>
    <col min="12293" max="12293" width="71.33203125" customWidth="1"/>
    <col min="12533" max="12533" width="2.6640625" customWidth="1"/>
    <col min="12534" max="12534" width="0.88671875" customWidth="1"/>
    <col min="12535" max="12535" width="12.5546875" bestFit="1" customWidth="1"/>
    <col min="12536" max="12536" width="4.6640625" customWidth="1"/>
    <col min="12537" max="12537" width="1.6640625" customWidth="1"/>
    <col min="12538" max="12538" width="4.6640625" customWidth="1"/>
    <col min="12539" max="12539" width="1.6640625" customWidth="1"/>
    <col min="12540" max="12540" width="4.6640625" customWidth="1"/>
    <col min="12541" max="12542" width="8.6640625" customWidth="1"/>
    <col min="12543" max="12543" width="11.33203125" bestFit="1" customWidth="1"/>
    <col min="12544" max="12544" width="17.5546875" customWidth="1"/>
    <col min="12545" max="12545" width="0.88671875" customWidth="1"/>
    <col min="12547" max="12547" width="12.88671875" bestFit="1" customWidth="1"/>
    <col min="12549" max="12549" width="71.33203125" customWidth="1"/>
    <col min="12789" max="12789" width="2.6640625" customWidth="1"/>
    <col min="12790" max="12790" width="0.88671875" customWidth="1"/>
    <col min="12791" max="12791" width="12.5546875" bestFit="1" customWidth="1"/>
    <col min="12792" max="12792" width="4.6640625" customWidth="1"/>
    <col min="12793" max="12793" width="1.6640625" customWidth="1"/>
    <col min="12794" max="12794" width="4.6640625" customWidth="1"/>
    <col min="12795" max="12795" width="1.6640625" customWidth="1"/>
    <col min="12796" max="12796" width="4.6640625" customWidth="1"/>
    <col min="12797" max="12798" width="8.6640625" customWidth="1"/>
    <col min="12799" max="12799" width="11.33203125" bestFit="1" customWidth="1"/>
    <col min="12800" max="12800" width="17.5546875" customWidth="1"/>
    <col min="12801" max="12801" width="0.88671875" customWidth="1"/>
    <col min="12803" max="12803" width="12.88671875" bestFit="1" customWidth="1"/>
    <col min="12805" max="12805" width="71.33203125" customWidth="1"/>
    <col min="13045" max="13045" width="2.6640625" customWidth="1"/>
    <col min="13046" max="13046" width="0.88671875" customWidth="1"/>
    <col min="13047" max="13047" width="12.5546875" bestFit="1" customWidth="1"/>
    <col min="13048" max="13048" width="4.6640625" customWidth="1"/>
    <col min="13049" max="13049" width="1.6640625" customWidth="1"/>
    <col min="13050" max="13050" width="4.6640625" customWidth="1"/>
    <col min="13051" max="13051" width="1.6640625" customWidth="1"/>
    <col min="13052" max="13052" width="4.6640625" customWidth="1"/>
    <col min="13053" max="13054" width="8.6640625" customWidth="1"/>
    <col min="13055" max="13055" width="11.33203125" bestFit="1" customWidth="1"/>
    <col min="13056" max="13056" width="17.5546875" customWidth="1"/>
    <col min="13057" max="13057" width="0.88671875" customWidth="1"/>
    <col min="13059" max="13059" width="12.88671875" bestFit="1" customWidth="1"/>
    <col min="13061" max="13061" width="71.33203125" customWidth="1"/>
    <col min="13301" max="13301" width="2.6640625" customWidth="1"/>
    <col min="13302" max="13302" width="0.88671875" customWidth="1"/>
    <col min="13303" max="13303" width="12.5546875" bestFit="1" customWidth="1"/>
    <col min="13304" max="13304" width="4.6640625" customWidth="1"/>
    <col min="13305" max="13305" width="1.6640625" customWidth="1"/>
    <col min="13306" max="13306" width="4.6640625" customWidth="1"/>
    <col min="13307" max="13307" width="1.6640625" customWidth="1"/>
    <col min="13308" max="13308" width="4.6640625" customWidth="1"/>
    <col min="13309" max="13310" width="8.6640625" customWidth="1"/>
    <col min="13311" max="13311" width="11.33203125" bestFit="1" customWidth="1"/>
    <col min="13312" max="13312" width="17.5546875" customWidth="1"/>
    <col min="13313" max="13313" width="0.88671875" customWidth="1"/>
    <col min="13315" max="13315" width="12.88671875" bestFit="1" customWidth="1"/>
    <col min="13317" max="13317" width="71.33203125" customWidth="1"/>
    <col min="13557" max="13557" width="2.6640625" customWidth="1"/>
    <col min="13558" max="13558" width="0.88671875" customWidth="1"/>
    <col min="13559" max="13559" width="12.5546875" bestFit="1" customWidth="1"/>
    <col min="13560" max="13560" width="4.6640625" customWidth="1"/>
    <col min="13561" max="13561" width="1.6640625" customWidth="1"/>
    <col min="13562" max="13562" width="4.6640625" customWidth="1"/>
    <col min="13563" max="13563" width="1.6640625" customWidth="1"/>
    <col min="13564" max="13564" width="4.6640625" customWidth="1"/>
    <col min="13565" max="13566" width="8.6640625" customWidth="1"/>
    <col min="13567" max="13567" width="11.33203125" bestFit="1" customWidth="1"/>
    <col min="13568" max="13568" width="17.5546875" customWidth="1"/>
    <col min="13569" max="13569" width="0.88671875" customWidth="1"/>
    <col min="13571" max="13571" width="12.88671875" bestFit="1" customWidth="1"/>
    <col min="13573" max="13573" width="71.33203125" customWidth="1"/>
    <col min="13813" max="13813" width="2.6640625" customWidth="1"/>
    <col min="13814" max="13814" width="0.88671875" customWidth="1"/>
    <col min="13815" max="13815" width="12.5546875" bestFit="1" customWidth="1"/>
    <col min="13816" max="13816" width="4.6640625" customWidth="1"/>
    <col min="13817" max="13817" width="1.6640625" customWidth="1"/>
    <col min="13818" max="13818" width="4.6640625" customWidth="1"/>
    <col min="13819" max="13819" width="1.6640625" customWidth="1"/>
    <col min="13820" max="13820" width="4.6640625" customWidth="1"/>
    <col min="13821" max="13822" width="8.6640625" customWidth="1"/>
    <col min="13823" max="13823" width="11.33203125" bestFit="1" customWidth="1"/>
    <col min="13824" max="13824" width="17.5546875" customWidth="1"/>
    <col min="13825" max="13825" width="0.88671875" customWidth="1"/>
    <col min="13827" max="13827" width="12.88671875" bestFit="1" customWidth="1"/>
    <col min="13829" max="13829" width="71.33203125" customWidth="1"/>
    <col min="14069" max="14069" width="2.6640625" customWidth="1"/>
    <col min="14070" max="14070" width="0.88671875" customWidth="1"/>
    <col min="14071" max="14071" width="12.5546875" bestFit="1" customWidth="1"/>
    <col min="14072" max="14072" width="4.6640625" customWidth="1"/>
    <col min="14073" max="14073" width="1.6640625" customWidth="1"/>
    <col min="14074" max="14074" width="4.6640625" customWidth="1"/>
    <col min="14075" max="14075" width="1.6640625" customWidth="1"/>
    <col min="14076" max="14076" width="4.6640625" customWidth="1"/>
    <col min="14077" max="14078" width="8.6640625" customWidth="1"/>
    <col min="14079" max="14079" width="11.33203125" bestFit="1" customWidth="1"/>
    <col min="14080" max="14080" width="17.5546875" customWidth="1"/>
    <col min="14081" max="14081" width="0.88671875" customWidth="1"/>
    <col min="14083" max="14083" width="12.88671875" bestFit="1" customWidth="1"/>
    <col min="14085" max="14085" width="71.33203125" customWidth="1"/>
    <col min="14325" max="14325" width="2.6640625" customWidth="1"/>
    <col min="14326" max="14326" width="0.88671875" customWidth="1"/>
    <col min="14327" max="14327" width="12.5546875" bestFit="1" customWidth="1"/>
    <col min="14328" max="14328" width="4.6640625" customWidth="1"/>
    <col min="14329" max="14329" width="1.6640625" customWidth="1"/>
    <col min="14330" max="14330" width="4.6640625" customWidth="1"/>
    <col min="14331" max="14331" width="1.6640625" customWidth="1"/>
    <col min="14332" max="14332" width="4.6640625" customWidth="1"/>
    <col min="14333" max="14334" width="8.6640625" customWidth="1"/>
    <col min="14335" max="14335" width="11.33203125" bestFit="1" customWidth="1"/>
    <col min="14336" max="14336" width="17.5546875" customWidth="1"/>
    <col min="14337" max="14337" width="0.88671875" customWidth="1"/>
    <col min="14339" max="14339" width="12.88671875" bestFit="1" customWidth="1"/>
    <col min="14341" max="14341" width="71.33203125" customWidth="1"/>
    <col min="14581" max="14581" width="2.6640625" customWidth="1"/>
    <col min="14582" max="14582" width="0.88671875" customWidth="1"/>
    <col min="14583" max="14583" width="12.5546875" bestFit="1" customWidth="1"/>
    <col min="14584" max="14584" width="4.6640625" customWidth="1"/>
    <col min="14585" max="14585" width="1.6640625" customWidth="1"/>
    <col min="14586" max="14586" width="4.6640625" customWidth="1"/>
    <col min="14587" max="14587" width="1.6640625" customWidth="1"/>
    <col min="14588" max="14588" width="4.6640625" customWidth="1"/>
    <col min="14589" max="14590" width="8.6640625" customWidth="1"/>
    <col min="14591" max="14591" width="11.33203125" bestFit="1" customWidth="1"/>
    <col min="14592" max="14592" width="17.5546875" customWidth="1"/>
    <col min="14593" max="14593" width="0.88671875" customWidth="1"/>
    <col min="14595" max="14595" width="12.88671875" bestFit="1" customWidth="1"/>
    <col min="14597" max="14597" width="71.33203125" customWidth="1"/>
    <col min="14837" max="14837" width="2.6640625" customWidth="1"/>
    <col min="14838" max="14838" width="0.88671875" customWidth="1"/>
    <col min="14839" max="14839" width="12.5546875" bestFit="1" customWidth="1"/>
    <col min="14840" max="14840" width="4.6640625" customWidth="1"/>
    <col min="14841" max="14841" width="1.6640625" customWidth="1"/>
    <col min="14842" max="14842" width="4.6640625" customWidth="1"/>
    <col min="14843" max="14843" width="1.6640625" customWidth="1"/>
    <col min="14844" max="14844" width="4.6640625" customWidth="1"/>
    <col min="14845" max="14846" width="8.6640625" customWidth="1"/>
    <col min="14847" max="14847" width="11.33203125" bestFit="1" customWidth="1"/>
    <col min="14848" max="14848" width="17.5546875" customWidth="1"/>
    <col min="14849" max="14849" width="0.88671875" customWidth="1"/>
    <col min="14851" max="14851" width="12.88671875" bestFit="1" customWidth="1"/>
    <col min="14853" max="14853" width="71.33203125" customWidth="1"/>
    <col min="15093" max="15093" width="2.6640625" customWidth="1"/>
    <col min="15094" max="15094" width="0.88671875" customWidth="1"/>
    <col min="15095" max="15095" width="12.5546875" bestFit="1" customWidth="1"/>
    <col min="15096" max="15096" width="4.6640625" customWidth="1"/>
    <col min="15097" max="15097" width="1.6640625" customWidth="1"/>
    <col min="15098" max="15098" width="4.6640625" customWidth="1"/>
    <col min="15099" max="15099" width="1.6640625" customWidth="1"/>
    <col min="15100" max="15100" width="4.6640625" customWidth="1"/>
    <col min="15101" max="15102" width="8.6640625" customWidth="1"/>
    <col min="15103" max="15103" width="11.33203125" bestFit="1" customWidth="1"/>
    <col min="15104" max="15104" width="17.5546875" customWidth="1"/>
    <col min="15105" max="15105" width="0.88671875" customWidth="1"/>
    <col min="15107" max="15107" width="12.88671875" bestFit="1" customWidth="1"/>
    <col min="15109" max="15109" width="71.33203125" customWidth="1"/>
    <col min="15349" max="15349" width="2.6640625" customWidth="1"/>
    <col min="15350" max="15350" width="0.88671875" customWidth="1"/>
    <col min="15351" max="15351" width="12.5546875" bestFit="1" customWidth="1"/>
    <col min="15352" max="15352" width="4.6640625" customWidth="1"/>
    <col min="15353" max="15353" width="1.6640625" customWidth="1"/>
    <col min="15354" max="15354" width="4.6640625" customWidth="1"/>
    <col min="15355" max="15355" width="1.6640625" customWidth="1"/>
    <col min="15356" max="15356" width="4.6640625" customWidth="1"/>
    <col min="15357" max="15358" width="8.6640625" customWidth="1"/>
    <col min="15359" max="15359" width="11.33203125" bestFit="1" customWidth="1"/>
    <col min="15360" max="15360" width="17.5546875" customWidth="1"/>
    <col min="15361" max="15361" width="0.88671875" customWidth="1"/>
    <col min="15363" max="15363" width="12.88671875" bestFit="1" customWidth="1"/>
    <col min="15365" max="15365" width="71.33203125" customWidth="1"/>
    <col min="15605" max="15605" width="2.6640625" customWidth="1"/>
    <col min="15606" max="15606" width="0.88671875" customWidth="1"/>
    <col min="15607" max="15607" width="12.5546875" bestFit="1" customWidth="1"/>
    <col min="15608" max="15608" width="4.6640625" customWidth="1"/>
    <col min="15609" max="15609" width="1.6640625" customWidth="1"/>
    <col min="15610" max="15610" width="4.6640625" customWidth="1"/>
    <col min="15611" max="15611" width="1.6640625" customWidth="1"/>
    <col min="15612" max="15612" width="4.6640625" customWidth="1"/>
    <col min="15613" max="15614" width="8.6640625" customWidth="1"/>
    <col min="15615" max="15615" width="11.33203125" bestFit="1" customWidth="1"/>
    <col min="15616" max="15616" width="17.5546875" customWidth="1"/>
    <col min="15617" max="15617" width="0.88671875" customWidth="1"/>
    <col min="15619" max="15619" width="12.88671875" bestFit="1" customWidth="1"/>
    <col min="15621" max="15621" width="71.33203125" customWidth="1"/>
    <col min="15861" max="15861" width="2.6640625" customWidth="1"/>
    <col min="15862" max="15862" width="0.88671875" customWidth="1"/>
    <col min="15863" max="15863" width="12.5546875" bestFit="1" customWidth="1"/>
    <col min="15864" max="15864" width="4.6640625" customWidth="1"/>
    <col min="15865" max="15865" width="1.6640625" customWidth="1"/>
    <col min="15866" max="15866" width="4.6640625" customWidth="1"/>
    <col min="15867" max="15867" width="1.6640625" customWidth="1"/>
    <col min="15868" max="15868" width="4.6640625" customWidth="1"/>
    <col min="15869" max="15870" width="8.6640625" customWidth="1"/>
    <col min="15871" max="15871" width="11.33203125" bestFit="1" customWidth="1"/>
    <col min="15872" max="15872" width="17.5546875" customWidth="1"/>
    <col min="15873" max="15873" width="0.88671875" customWidth="1"/>
    <col min="15875" max="15875" width="12.88671875" bestFit="1" customWidth="1"/>
    <col min="15877" max="15877" width="71.33203125" customWidth="1"/>
    <col min="16117" max="16117" width="2.6640625" customWidth="1"/>
    <col min="16118" max="16118" width="0.88671875" customWidth="1"/>
    <col min="16119" max="16119" width="12.5546875" bestFit="1" customWidth="1"/>
    <col min="16120" max="16120" width="4.6640625" customWidth="1"/>
    <col min="16121" max="16121" width="1.6640625" customWidth="1"/>
    <col min="16122" max="16122" width="4.6640625" customWidth="1"/>
    <col min="16123" max="16123" width="1.6640625" customWidth="1"/>
    <col min="16124" max="16124" width="4.6640625" customWidth="1"/>
    <col min="16125" max="16126" width="8.6640625" customWidth="1"/>
    <col min="16127" max="16127" width="11.33203125" bestFit="1" customWidth="1"/>
    <col min="16128" max="16128" width="17.5546875" customWidth="1"/>
    <col min="16129" max="16129" width="0.88671875" customWidth="1"/>
    <col min="16131" max="16131" width="12.88671875" bestFit="1" customWidth="1"/>
    <col min="16133" max="16133" width="71.33203125" customWidth="1"/>
  </cols>
  <sheetData>
    <row r="1" spans="2:13" x14ac:dyDescent="0.25">
      <c r="K1" s="2" t="s">
        <v>0</v>
      </c>
      <c r="L1" s="3" t="s">
        <v>1</v>
      </c>
    </row>
    <row r="2" spans="2:13" x14ac:dyDescent="0.25">
      <c r="K2" s="2" t="s">
        <v>2</v>
      </c>
      <c r="L2" s="4">
        <v>4</v>
      </c>
    </row>
    <row r="3" spans="2:13" x14ac:dyDescent="0.25">
      <c r="K3" s="2" t="s">
        <v>3</v>
      </c>
      <c r="L3" s="5">
        <v>44953</v>
      </c>
    </row>
    <row r="6" spans="2:13" x14ac:dyDescent="0.25">
      <c r="C6" s="63" t="s">
        <v>4</v>
      </c>
      <c r="D6" s="63"/>
      <c r="E6" s="63"/>
      <c r="F6" s="63"/>
      <c r="G6" s="63"/>
      <c r="H6" s="63"/>
      <c r="I6" s="63"/>
      <c r="J6" s="63"/>
      <c r="K6" s="63"/>
      <c r="L6" s="63"/>
    </row>
    <row r="8" spans="2:13" ht="13.8" thickBot="1" x14ac:dyDescent="0.3">
      <c r="K8" s="6" t="s">
        <v>5</v>
      </c>
      <c r="L8" s="7"/>
    </row>
    <row r="9" spans="2:13" ht="6" customHeight="1" x14ac:dyDescent="0.25">
      <c r="B9" s="8"/>
      <c r="C9" s="9"/>
      <c r="D9" s="10"/>
      <c r="E9" s="10"/>
      <c r="F9" s="10"/>
      <c r="G9" s="10"/>
      <c r="H9" s="10"/>
      <c r="I9" s="10"/>
      <c r="J9" s="10"/>
      <c r="K9" s="10"/>
      <c r="L9" s="10"/>
      <c r="M9" s="11"/>
    </row>
    <row r="10" spans="2:13" x14ac:dyDescent="0.25">
      <c r="B10" s="12"/>
      <c r="C10" s="13" t="s">
        <v>6</v>
      </c>
      <c r="D10" s="14">
        <v>30</v>
      </c>
      <c r="F10" s="15">
        <v>4</v>
      </c>
      <c r="G10" t="s">
        <v>7</v>
      </c>
      <c r="H10" s="15">
        <v>26</v>
      </c>
      <c r="J10" s="64" t="s">
        <v>8</v>
      </c>
      <c r="K10" s="65"/>
      <c r="L10" s="16"/>
      <c r="M10" s="17"/>
    </row>
    <row r="11" spans="2:13" x14ac:dyDescent="0.25">
      <c r="B11" s="12"/>
      <c r="C11" s="35" t="s">
        <v>9</v>
      </c>
      <c r="D11" s="18">
        <f>+D10</f>
        <v>30</v>
      </c>
      <c r="F11" s="15">
        <f>IF(F10=12,1,F10+1)</f>
        <v>5</v>
      </c>
      <c r="H11" s="15">
        <v>26</v>
      </c>
      <c r="J11" s="46"/>
      <c r="K11" s="46"/>
      <c r="L11" s="47"/>
      <c r="M11" s="17"/>
    </row>
    <row r="12" spans="2:13" ht="6.75" customHeight="1" x14ac:dyDescent="0.25">
      <c r="B12" s="12"/>
      <c r="C12" s="48"/>
      <c r="J12" s="46"/>
      <c r="K12" s="46"/>
      <c r="M12" s="17"/>
    </row>
    <row r="13" spans="2:13" x14ac:dyDescent="0.25">
      <c r="B13" s="12"/>
      <c r="C13" s="13" t="s">
        <v>10</v>
      </c>
      <c r="D13" s="66"/>
      <c r="E13" s="67"/>
      <c r="F13" s="68"/>
      <c r="J13" s="64" t="s">
        <v>11</v>
      </c>
      <c r="K13" s="65"/>
      <c r="L13" s="15" t="s">
        <v>42</v>
      </c>
      <c r="M13" s="17"/>
    </row>
    <row r="14" spans="2:13" ht="6" customHeight="1" x14ac:dyDescent="0.25">
      <c r="B14" s="12"/>
      <c r="M14" s="17"/>
    </row>
    <row r="15" spans="2:13" ht="6" customHeight="1" x14ac:dyDescent="0.25">
      <c r="B15" s="12"/>
      <c r="C15" s="69" t="s">
        <v>12</v>
      </c>
      <c r="D15" s="71" t="s">
        <v>13</v>
      </c>
      <c r="E15" s="72"/>
      <c r="F15" s="72"/>
      <c r="G15" s="72"/>
      <c r="H15" s="72"/>
      <c r="I15" s="72"/>
      <c r="J15" s="72"/>
      <c r="K15" s="72"/>
      <c r="L15" s="73"/>
      <c r="M15" s="17"/>
    </row>
    <row r="16" spans="2:13" ht="6" customHeight="1" x14ac:dyDescent="0.25">
      <c r="B16" s="12"/>
      <c r="C16" s="70"/>
      <c r="D16" s="74"/>
      <c r="E16" s="75"/>
      <c r="F16" s="75"/>
      <c r="G16" s="75"/>
      <c r="H16" s="75"/>
      <c r="I16" s="75"/>
      <c r="J16" s="75"/>
      <c r="K16" s="75"/>
      <c r="L16" s="76"/>
      <c r="M16" s="17"/>
    </row>
    <row r="17" spans="2:20" ht="6" customHeight="1" x14ac:dyDescent="0.25">
      <c r="B17" s="12"/>
      <c r="M17" s="17"/>
    </row>
    <row r="18" spans="2:20" ht="12.75" customHeight="1" x14ac:dyDescent="0.25">
      <c r="B18" s="12"/>
      <c r="C18" s="13" t="s">
        <v>14</v>
      </c>
      <c r="D18" s="77" t="s">
        <v>15</v>
      </c>
      <c r="E18" s="78"/>
      <c r="F18" s="78"/>
      <c r="G18" s="78"/>
      <c r="H18" s="78"/>
      <c r="I18" s="78"/>
      <c r="J18" s="78"/>
      <c r="K18" s="78"/>
      <c r="L18" s="79"/>
      <c r="M18" s="17"/>
    </row>
    <row r="19" spans="2:20" ht="6" customHeight="1" x14ac:dyDescent="0.25">
      <c r="B19" s="12"/>
      <c r="M19" s="17"/>
    </row>
    <row r="20" spans="2:20" x14ac:dyDescent="0.25">
      <c r="B20" s="12"/>
      <c r="C20" s="13" t="s">
        <v>16</v>
      </c>
      <c r="D20" s="80">
        <v>96800570</v>
      </c>
      <c r="E20" s="81"/>
      <c r="F20" s="82"/>
      <c r="G20" s="49" t="s">
        <v>17</v>
      </c>
      <c r="H20" s="36">
        <v>7</v>
      </c>
      <c r="M20" s="17"/>
    </row>
    <row r="21" spans="2:20" ht="6" customHeight="1" x14ac:dyDescent="0.25">
      <c r="B21" s="12"/>
      <c r="M21" s="17"/>
    </row>
    <row r="22" spans="2:20" x14ac:dyDescent="0.25">
      <c r="B22" s="12"/>
      <c r="C22" s="13" t="s">
        <v>18</v>
      </c>
      <c r="D22" s="83" t="s">
        <v>19</v>
      </c>
      <c r="E22" s="84"/>
      <c r="F22" s="84"/>
      <c r="G22" s="84"/>
      <c r="H22" s="84"/>
      <c r="I22" s="84"/>
      <c r="J22" s="84"/>
      <c r="K22" s="84"/>
      <c r="L22" s="85"/>
      <c r="M22" s="17"/>
    </row>
    <row r="23" spans="2:20" ht="6" customHeight="1" x14ac:dyDescent="0.25">
      <c r="B23" s="12"/>
      <c r="M23" s="17"/>
    </row>
    <row r="24" spans="2:20" x14ac:dyDescent="0.25">
      <c r="B24" s="12"/>
      <c r="C24" s="13" t="s">
        <v>20</v>
      </c>
      <c r="D24" s="86" t="s">
        <v>21</v>
      </c>
      <c r="E24" s="84"/>
      <c r="F24" s="84"/>
      <c r="G24" s="84"/>
      <c r="H24" s="85"/>
      <c r="J24" s="13" t="s">
        <v>22</v>
      </c>
      <c r="K24" s="86" t="s">
        <v>23</v>
      </c>
      <c r="L24" s="85"/>
      <c r="M24" s="17"/>
    </row>
    <row r="25" spans="2:20" ht="6" customHeight="1" x14ac:dyDescent="0.25">
      <c r="B25" s="12"/>
      <c r="C25" s="48"/>
      <c r="D25" s="50"/>
      <c r="E25" s="50"/>
      <c r="F25" s="50"/>
      <c r="G25" s="50"/>
      <c r="H25" s="50"/>
      <c r="J25" s="48"/>
      <c r="K25" s="50"/>
      <c r="L25" s="50"/>
      <c r="M25" s="17"/>
    </row>
    <row r="26" spans="2:20" ht="18" customHeight="1" x14ac:dyDescent="0.25">
      <c r="B26" s="12"/>
      <c r="C26" s="19" t="s">
        <v>24</v>
      </c>
      <c r="D26" s="60" t="s">
        <v>25</v>
      </c>
      <c r="E26" s="61"/>
      <c r="F26" s="61"/>
      <c r="G26" s="61"/>
      <c r="H26" s="61"/>
      <c r="I26" s="61"/>
      <c r="J26" s="61"/>
      <c r="K26" s="61"/>
      <c r="L26" s="62"/>
      <c r="M26" s="17"/>
      <c r="O26" s="58"/>
      <c r="P26" s="58"/>
      <c r="Q26" s="58"/>
      <c r="R26" s="58"/>
      <c r="S26" s="58"/>
      <c r="T26" s="58"/>
    </row>
    <row r="27" spans="2:20" ht="6" customHeight="1" x14ac:dyDescent="0.25">
      <c r="B27" s="12"/>
      <c r="C27" s="48"/>
      <c r="D27" s="50"/>
      <c r="E27" s="50"/>
      <c r="F27" s="50"/>
      <c r="G27" s="50"/>
      <c r="H27" s="50"/>
      <c r="J27" s="48"/>
      <c r="K27" s="50"/>
      <c r="L27" s="50"/>
      <c r="M27" s="17"/>
      <c r="O27" s="58"/>
      <c r="P27" s="58"/>
      <c r="Q27" s="58"/>
      <c r="R27" s="58"/>
      <c r="S27" s="58"/>
      <c r="T27" s="58"/>
    </row>
    <row r="28" spans="2:20" x14ac:dyDescent="0.25">
      <c r="B28" s="12"/>
      <c r="C28" s="13" t="s">
        <v>26</v>
      </c>
      <c r="D28" s="43" t="s">
        <v>44</v>
      </c>
      <c r="E28" s="38"/>
      <c r="F28" s="38"/>
      <c r="G28" s="38"/>
      <c r="H28" s="38"/>
      <c r="I28" s="20"/>
      <c r="J28" s="21"/>
      <c r="K28" s="38"/>
      <c r="L28" s="39"/>
      <c r="M28" s="17"/>
      <c r="O28" s="58"/>
      <c r="P28" s="58"/>
      <c r="Q28" s="58"/>
      <c r="R28" s="58"/>
      <c r="S28" s="58"/>
      <c r="T28" s="58"/>
    </row>
    <row r="29" spans="2:20" x14ac:dyDescent="0.25">
      <c r="B29" s="12"/>
      <c r="C29" s="13" t="s">
        <v>27</v>
      </c>
      <c r="D29" s="37" t="s">
        <v>28</v>
      </c>
      <c r="E29" s="38"/>
      <c r="F29" s="38"/>
      <c r="G29" s="38"/>
      <c r="H29" s="38"/>
      <c r="I29" s="20"/>
      <c r="J29" s="21"/>
      <c r="K29" s="38"/>
      <c r="L29" s="39"/>
      <c r="M29" s="17"/>
      <c r="O29" s="58"/>
      <c r="P29" s="58"/>
      <c r="Q29" s="58"/>
      <c r="R29" s="58"/>
      <c r="S29" s="58"/>
      <c r="T29" s="58"/>
    </row>
    <row r="30" spans="2:20" ht="6" customHeight="1" x14ac:dyDescent="0.25">
      <c r="B30" s="12"/>
      <c r="M30" s="17"/>
      <c r="O30" s="58"/>
      <c r="P30" s="58"/>
      <c r="Q30" s="58"/>
      <c r="R30" s="58"/>
      <c r="S30" s="58"/>
      <c r="T30" s="58"/>
    </row>
    <row r="31" spans="2:20" ht="12.75" customHeight="1" x14ac:dyDescent="0.25">
      <c r="B31" s="12"/>
      <c r="C31" s="22" t="s">
        <v>29</v>
      </c>
      <c r="D31" s="51" t="s">
        <v>45</v>
      </c>
      <c r="E31" s="44"/>
      <c r="F31" s="44"/>
      <c r="G31" s="44"/>
      <c r="H31" s="44"/>
      <c r="I31" s="44"/>
      <c r="J31" s="44"/>
      <c r="K31" s="44"/>
      <c r="L31" s="52"/>
      <c r="M31" s="17"/>
      <c r="O31" s="58"/>
      <c r="P31" s="58"/>
      <c r="Q31" s="58"/>
      <c r="R31" s="58"/>
      <c r="S31" s="58"/>
      <c r="T31" s="58"/>
    </row>
    <row r="32" spans="2:20" ht="12.75" customHeight="1" x14ac:dyDescent="0.25">
      <c r="B32" s="12"/>
      <c r="C32" s="23"/>
      <c r="D32" s="53" t="s">
        <v>46</v>
      </c>
      <c r="E32" s="57"/>
      <c r="F32" s="57"/>
      <c r="G32" s="57"/>
      <c r="H32" s="57"/>
      <c r="I32" s="57"/>
      <c r="J32" s="57"/>
      <c r="K32" s="59">
        <v>81360235</v>
      </c>
      <c r="L32" s="54"/>
      <c r="M32" s="17"/>
      <c r="O32" s="58"/>
      <c r="P32" s="58"/>
      <c r="Q32" s="58"/>
      <c r="R32" s="58"/>
      <c r="S32" s="58"/>
      <c r="T32" s="58"/>
    </row>
    <row r="33" spans="2:20" ht="12.75" customHeight="1" x14ac:dyDescent="0.25">
      <c r="B33" s="12"/>
      <c r="C33" s="23"/>
      <c r="D33" s="53"/>
      <c r="E33" s="57"/>
      <c r="F33" s="57"/>
      <c r="G33" s="57"/>
      <c r="H33" s="57"/>
      <c r="I33" s="57"/>
      <c r="J33" s="57"/>
      <c r="K33" s="59"/>
      <c r="L33" s="54"/>
      <c r="M33" s="17"/>
      <c r="O33" s="58"/>
      <c r="P33" s="58"/>
      <c r="Q33" s="58"/>
      <c r="R33" s="58"/>
      <c r="S33" s="58"/>
      <c r="T33" s="58"/>
    </row>
    <row r="34" spans="2:20" ht="12.75" customHeight="1" x14ac:dyDescent="0.25">
      <c r="B34" s="12"/>
      <c r="C34" s="23"/>
      <c r="D34" s="53"/>
      <c r="E34" s="57"/>
      <c r="F34" s="57"/>
      <c r="G34" s="57"/>
      <c r="H34" s="57"/>
      <c r="I34" s="57"/>
      <c r="J34" s="57"/>
      <c r="K34" s="59"/>
      <c r="L34" s="54"/>
      <c r="M34" s="17"/>
      <c r="O34" s="58"/>
      <c r="P34" s="58"/>
      <c r="Q34" s="58"/>
      <c r="R34" s="58"/>
      <c r="S34" s="58"/>
      <c r="T34" s="58"/>
    </row>
    <row r="35" spans="2:20" ht="12.75" customHeight="1" x14ac:dyDescent="0.25">
      <c r="B35" s="12"/>
      <c r="C35" s="23"/>
      <c r="D35" s="53"/>
      <c r="E35" s="57"/>
      <c r="F35" s="57"/>
      <c r="G35" s="57"/>
      <c r="H35" s="57"/>
      <c r="I35" s="57"/>
      <c r="J35" s="57"/>
      <c r="K35" s="59"/>
      <c r="L35" s="54"/>
      <c r="M35" s="17"/>
      <c r="O35" s="58"/>
      <c r="P35" s="58"/>
      <c r="Q35" s="58"/>
      <c r="R35" s="58"/>
      <c r="S35" s="58"/>
      <c r="T35" s="58"/>
    </row>
    <row r="36" spans="2:20" ht="12.75" customHeight="1" x14ac:dyDescent="0.25">
      <c r="B36" s="12"/>
      <c r="C36" s="23"/>
      <c r="D36" s="53"/>
      <c r="E36" s="57"/>
      <c r="F36" s="57"/>
      <c r="G36" s="57"/>
      <c r="H36" s="57"/>
      <c r="I36" s="57"/>
      <c r="J36" s="57"/>
      <c r="K36" s="59"/>
      <c r="L36" s="54"/>
      <c r="M36" s="17"/>
      <c r="O36" s="58"/>
      <c r="P36" s="58"/>
      <c r="Q36" s="58"/>
      <c r="R36" s="58"/>
      <c r="S36" s="58"/>
      <c r="T36" s="58"/>
    </row>
    <row r="37" spans="2:20" ht="12.75" customHeight="1" x14ac:dyDescent="0.25">
      <c r="B37" s="12"/>
      <c r="C37" s="23"/>
      <c r="D37" s="53"/>
      <c r="E37" s="57"/>
      <c r="F37" s="57"/>
      <c r="G37" s="57"/>
      <c r="H37" s="57"/>
      <c r="I37" s="57"/>
      <c r="J37" s="57"/>
      <c r="K37" s="59"/>
      <c r="L37" s="54"/>
      <c r="M37" s="17"/>
      <c r="O37" s="58"/>
      <c r="P37" s="58"/>
      <c r="Q37" s="58"/>
      <c r="R37" s="58"/>
      <c r="S37" s="58"/>
      <c r="T37" s="58"/>
    </row>
    <row r="38" spans="2:20" x14ac:dyDescent="0.25">
      <c r="B38" s="12"/>
      <c r="C38" s="23"/>
      <c r="D38" s="53"/>
      <c r="E38" s="57"/>
      <c r="F38" s="57"/>
      <c r="G38" s="57"/>
      <c r="H38" s="57"/>
      <c r="I38" s="57"/>
      <c r="J38" s="57"/>
      <c r="K38" s="57"/>
      <c r="L38" s="54"/>
      <c r="M38" s="17"/>
      <c r="O38" s="58"/>
      <c r="P38" s="58"/>
      <c r="Q38" s="58"/>
      <c r="R38" s="58"/>
      <c r="S38" s="58"/>
      <c r="T38" s="58"/>
    </row>
    <row r="39" spans="2:20" x14ac:dyDescent="0.25">
      <c r="B39" s="12"/>
      <c r="C39" s="23"/>
      <c r="D39" s="53" t="s">
        <v>47</v>
      </c>
      <c r="E39" s="57"/>
      <c r="F39" s="57"/>
      <c r="G39" s="57"/>
      <c r="H39" s="57"/>
      <c r="I39" s="57"/>
      <c r="J39" s="57"/>
      <c r="K39" s="57"/>
      <c r="L39" s="54"/>
      <c r="M39" s="17"/>
      <c r="O39" s="58"/>
      <c r="P39" s="58"/>
      <c r="Q39" s="58"/>
      <c r="R39" s="58"/>
      <c r="S39" s="58"/>
      <c r="T39" s="58"/>
    </row>
    <row r="40" spans="2:20" x14ac:dyDescent="0.25">
      <c r="B40" s="12"/>
      <c r="C40" s="23"/>
      <c r="D40" s="53" t="s">
        <v>49</v>
      </c>
      <c r="E40" s="57"/>
      <c r="F40" s="57"/>
      <c r="G40" s="57"/>
      <c r="H40" s="57"/>
      <c r="I40" s="57"/>
      <c r="J40" s="57"/>
      <c r="K40" s="57"/>
      <c r="L40" s="54"/>
      <c r="M40" s="17"/>
      <c r="O40" s="58"/>
      <c r="P40" s="58"/>
      <c r="Q40" s="58"/>
      <c r="R40" s="58"/>
      <c r="S40" s="58"/>
      <c r="T40" s="58"/>
    </row>
    <row r="41" spans="2:20" x14ac:dyDescent="0.25">
      <c r="B41" s="12"/>
      <c r="C41" s="23"/>
      <c r="D41" s="53" t="s">
        <v>48</v>
      </c>
      <c r="E41" s="57"/>
      <c r="F41" s="57"/>
      <c r="G41" s="57"/>
      <c r="H41" s="57"/>
      <c r="I41" s="57"/>
      <c r="J41" s="57"/>
      <c r="K41" s="57"/>
      <c r="L41" s="54"/>
      <c r="M41" s="17"/>
      <c r="O41" s="58"/>
      <c r="P41" s="58"/>
      <c r="Q41" s="58"/>
      <c r="R41" s="58"/>
      <c r="S41" s="58"/>
      <c r="T41" s="58"/>
    </row>
    <row r="42" spans="2:20" x14ac:dyDescent="0.25">
      <c r="B42" s="12"/>
      <c r="C42" s="23"/>
      <c r="D42" s="53" t="s">
        <v>43</v>
      </c>
      <c r="E42" s="57"/>
      <c r="F42" s="57"/>
      <c r="G42" s="57"/>
      <c r="H42" s="57"/>
      <c r="I42" s="57"/>
      <c r="J42" s="57"/>
      <c r="K42" s="57"/>
      <c r="L42" s="54"/>
      <c r="M42" s="17"/>
      <c r="O42" s="58"/>
      <c r="P42" s="58"/>
      <c r="Q42" s="58"/>
      <c r="R42" s="58"/>
      <c r="S42" s="58"/>
      <c r="T42" s="58"/>
    </row>
    <row r="43" spans="2:20" x14ac:dyDescent="0.25">
      <c r="B43" s="12"/>
      <c r="C43" s="24"/>
      <c r="D43" s="55"/>
      <c r="E43" s="45"/>
      <c r="F43" s="45"/>
      <c r="G43" s="45"/>
      <c r="H43" s="45"/>
      <c r="I43" s="45"/>
      <c r="J43" s="45"/>
      <c r="K43" s="45"/>
      <c r="L43" s="56"/>
      <c r="M43" s="17"/>
      <c r="O43" s="58"/>
      <c r="P43" s="58"/>
      <c r="Q43" s="58"/>
      <c r="R43" s="58"/>
      <c r="S43" s="58"/>
      <c r="T43" s="58"/>
    </row>
    <row r="44" spans="2:20" x14ac:dyDescent="0.25">
      <c r="B44" s="12"/>
      <c r="C44" s="40" t="s">
        <v>30</v>
      </c>
      <c r="D44" s="87"/>
      <c r="E44" s="87"/>
      <c r="F44" s="87"/>
      <c r="G44" s="87"/>
      <c r="H44" s="87"/>
      <c r="I44" s="70" t="s">
        <v>31</v>
      </c>
      <c r="J44" s="70"/>
      <c r="K44" s="70" t="s">
        <v>32</v>
      </c>
      <c r="L44" s="70"/>
      <c r="M44" s="17"/>
      <c r="O44" s="58"/>
      <c r="P44" s="58"/>
      <c r="Q44" s="58"/>
      <c r="R44" s="58"/>
      <c r="S44" s="58"/>
      <c r="T44" s="58"/>
    </row>
    <row r="45" spans="2:20" x14ac:dyDescent="0.25">
      <c r="B45" s="12"/>
      <c r="C45" s="41">
        <v>1</v>
      </c>
      <c r="D45" s="88">
        <f>SUM(K32:K37)</f>
        <v>81360235</v>
      </c>
      <c r="E45" s="89"/>
      <c r="F45" s="89"/>
      <c r="G45" s="89"/>
      <c r="H45" s="90"/>
      <c r="I45" s="91"/>
      <c r="J45" s="92"/>
      <c r="K45" s="93"/>
      <c r="L45" s="92"/>
      <c r="M45" s="17"/>
      <c r="O45" s="58"/>
      <c r="P45" s="58"/>
      <c r="Q45" s="58"/>
      <c r="R45" s="58"/>
      <c r="S45" s="58"/>
      <c r="T45" s="58"/>
    </row>
    <row r="46" spans="2:20" x14ac:dyDescent="0.25">
      <c r="B46" s="12"/>
      <c r="C46" s="25"/>
      <c r="D46" s="88"/>
      <c r="E46" s="89"/>
      <c r="F46" s="89"/>
      <c r="G46" s="89"/>
      <c r="H46" s="90"/>
      <c r="I46" s="91"/>
      <c r="J46" s="92"/>
      <c r="K46" s="93"/>
      <c r="L46" s="92"/>
      <c r="M46" s="17"/>
      <c r="O46" s="58"/>
      <c r="P46" s="58"/>
      <c r="Q46" s="58"/>
      <c r="R46" s="58"/>
      <c r="S46" s="58"/>
      <c r="T46" s="58"/>
    </row>
    <row r="47" spans="2:20" x14ac:dyDescent="0.25">
      <c r="B47" s="12"/>
      <c r="C47" s="25"/>
      <c r="D47" s="88"/>
      <c r="E47" s="89"/>
      <c r="F47" s="89"/>
      <c r="G47" s="89"/>
      <c r="H47" s="90"/>
      <c r="I47" s="93"/>
      <c r="J47" s="92"/>
      <c r="K47" s="93"/>
      <c r="L47" s="92"/>
      <c r="M47" s="17"/>
      <c r="O47" s="58"/>
      <c r="P47" s="58"/>
      <c r="Q47" s="58"/>
      <c r="R47" s="58"/>
      <c r="S47" s="58"/>
      <c r="T47" s="58"/>
    </row>
    <row r="48" spans="2:20" ht="14.4" x14ac:dyDescent="0.3">
      <c r="B48" s="12"/>
      <c r="C48" s="25"/>
      <c r="D48" s="88"/>
      <c r="E48" s="89"/>
      <c r="F48" s="89"/>
      <c r="G48" s="89"/>
      <c r="H48" s="90"/>
      <c r="I48" s="93"/>
      <c r="J48" s="92"/>
      <c r="K48" s="93"/>
      <c r="L48" s="92"/>
      <c r="M48" s="17"/>
      <c r="N48" s="42"/>
      <c r="O48" s="58"/>
      <c r="P48" s="58"/>
      <c r="Q48" s="58"/>
      <c r="R48" s="58"/>
      <c r="S48" s="58"/>
      <c r="T48" s="58"/>
    </row>
    <row r="49" spans="2:20" ht="13.5" customHeight="1" x14ac:dyDescent="0.25">
      <c r="B49" s="12"/>
      <c r="C49" s="26"/>
      <c r="D49" s="93"/>
      <c r="E49" s="96"/>
      <c r="F49" s="96"/>
      <c r="G49" s="96"/>
      <c r="H49" s="92"/>
      <c r="I49" s="93"/>
      <c r="J49" s="92"/>
      <c r="K49" s="93"/>
      <c r="L49" s="92"/>
      <c r="M49" s="17"/>
      <c r="O49" s="58"/>
      <c r="P49" s="58"/>
      <c r="Q49" s="58"/>
      <c r="R49" s="58"/>
      <c r="S49" s="58"/>
      <c r="T49" s="58"/>
    </row>
    <row r="50" spans="2:20" x14ac:dyDescent="0.25">
      <c r="B50" s="12"/>
      <c r="M50" s="17"/>
      <c r="O50" s="58"/>
      <c r="P50" s="58"/>
      <c r="Q50" s="58"/>
      <c r="R50" s="58"/>
      <c r="S50" s="58"/>
      <c r="T50" s="58"/>
    </row>
    <row r="51" spans="2:20" ht="23.25" customHeight="1" x14ac:dyDescent="0.25">
      <c r="B51" s="12"/>
      <c r="C51" s="27" t="s">
        <v>33</v>
      </c>
      <c r="D51" s="97"/>
      <c r="E51" s="98"/>
      <c r="F51" s="98"/>
      <c r="G51" s="98"/>
      <c r="H51" s="99"/>
      <c r="J51" s="28" t="s">
        <v>34</v>
      </c>
      <c r="K51" s="93"/>
      <c r="L51" s="92"/>
      <c r="M51" s="17"/>
      <c r="O51" s="58"/>
      <c r="P51" s="58"/>
      <c r="Q51" s="58"/>
      <c r="R51" s="58"/>
      <c r="S51" s="58"/>
      <c r="T51" s="58"/>
    </row>
    <row r="52" spans="2:20" x14ac:dyDescent="0.25">
      <c r="B52" s="12"/>
      <c r="M52" s="17"/>
      <c r="O52" s="58"/>
      <c r="P52" s="58"/>
      <c r="Q52" s="58"/>
      <c r="R52" s="58"/>
      <c r="S52" s="58"/>
      <c r="T52" s="58"/>
    </row>
    <row r="53" spans="2:20" x14ac:dyDescent="0.25">
      <c r="B53" s="12"/>
      <c r="D53" s="100" t="s">
        <v>35</v>
      </c>
      <c r="E53" s="101"/>
      <c r="F53" s="101"/>
      <c r="G53" s="102"/>
      <c r="J53" s="28" t="s">
        <v>36</v>
      </c>
      <c r="K53" s="103">
        <f>D45</f>
        <v>81360235</v>
      </c>
      <c r="L53" s="104"/>
      <c r="M53" s="17"/>
      <c r="O53" s="58"/>
      <c r="P53" s="58"/>
      <c r="Q53" s="58"/>
      <c r="R53" s="58"/>
      <c r="S53" s="58"/>
      <c r="T53" s="58"/>
    </row>
    <row r="54" spans="2:20" ht="21" customHeight="1" x14ac:dyDescent="0.25">
      <c r="B54" s="12"/>
      <c r="D54" s="27" t="s">
        <v>37</v>
      </c>
      <c r="E54" s="26" t="s">
        <v>39</v>
      </c>
      <c r="F54" s="27" t="s">
        <v>38</v>
      </c>
      <c r="G54" s="29"/>
      <c r="J54" s="28" t="s">
        <v>40</v>
      </c>
      <c r="K54" s="103">
        <f>+K53*19%</f>
        <v>15458444.65</v>
      </c>
      <c r="L54" s="104"/>
      <c r="M54" s="17"/>
      <c r="O54" s="58"/>
      <c r="P54" s="58"/>
      <c r="Q54" s="58"/>
      <c r="R54" s="58"/>
      <c r="S54" s="58"/>
      <c r="T54" s="58"/>
    </row>
    <row r="55" spans="2:20" ht="18" customHeight="1" thickBot="1" x14ac:dyDescent="0.3">
      <c r="B55" s="30"/>
      <c r="C55" s="31"/>
      <c r="D55" s="32"/>
      <c r="E55" s="32"/>
      <c r="F55" s="32"/>
      <c r="G55" s="32"/>
      <c r="H55" s="32"/>
      <c r="I55" s="32"/>
      <c r="J55" s="33" t="s">
        <v>41</v>
      </c>
      <c r="K55" s="94">
        <f>+K53+K54</f>
        <v>96818679.650000006</v>
      </c>
      <c r="L55" s="95"/>
      <c r="M55" s="34"/>
      <c r="O55" s="58"/>
      <c r="P55" s="58"/>
      <c r="Q55" s="58"/>
      <c r="R55" s="58"/>
      <c r="S55" s="58"/>
      <c r="T55" s="58"/>
    </row>
    <row r="56" spans="2:20" x14ac:dyDescent="0.25">
      <c r="O56" s="58"/>
      <c r="P56" s="58"/>
      <c r="Q56" s="58"/>
      <c r="R56" s="58"/>
      <c r="S56" s="58"/>
      <c r="T56" s="58"/>
    </row>
    <row r="57" spans="2:20" x14ac:dyDescent="0.25">
      <c r="O57" s="58"/>
      <c r="P57" s="58"/>
      <c r="Q57" s="58"/>
      <c r="R57" s="58"/>
      <c r="S57" s="58"/>
      <c r="T57" s="58"/>
    </row>
  </sheetData>
  <mergeCells count="36">
    <mergeCell ref="K55:L55"/>
    <mergeCell ref="D48:H48"/>
    <mergeCell ref="I48:J48"/>
    <mergeCell ref="K48:L48"/>
    <mergeCell ref="D49:H49"/>
    <mergeCell ref="I49:J49"/>
    <mergeCell ref="K49:L49"/>
    <mergeCell ref="D51:H51"/>
    <mergeCell ref="K51:L51"/>
    <mergeCell ref="D53:G53"/>
    <mergeCell ref="K53:L53"/>
    <mergeCell ref="K54:L54"/>
    <mergeCell ref="D46:H46"/>
    <mergeCell ref="I46:J46"/>
    <mergeCell ref="K46:L46"/>
    <mergeCell ref="D47:H47"/>
    <mergeCell ref="I47:J47"/>
    <mergeCell ref="K47:L47"/>
    <mergeCell ref="D44:H44"/>
    <mergeCell ref="I44:J44"/>
    <mergeCell ref="K44:L44"/>
    <mergeCell ref="D45:H45"/>
    <mergeCell ref="I45:J45"/>
    <mergeCell ref="K45:L45"/>
    <mergeCell ref="D26:L26"/>
    <mergeCell ref="C6:L6"/>
    <mergeCell ref="J10:K10"/>
    <mergeCell ref="D13:F13"/>
    <mergeCell ref="J13:K13"/>
    <mergeCell ref="C15:C16"/>
    <mergeCell ref="D15:L16"/>
    <mergeCell ref="D18:L18"/>
    <mergeCell ref="D20:F20"/>
    <mergeCell ref="D22:L22"/>
    <mergeCell ref="D24:H24"/>
    <mergeCell ref="K24:L24"/>
  </mergeCells>
  <printOptions horizontalCentered="1"/>
  <pageMargins left="0.75" right="0.75" top="1.9685039370078741" bottom="1" header="1.1811023622047245" footer="0"/>
  <pageSetup orientation="portrait" r:id="rId1"/>
  <headerFooter alignWithMargins="0">
    <oddHeader>&amp;C&amp;"Arial,Negrita"&amp;14&amp;UFORMULARIO FACTURACIÓN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 01-101031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OCA Chile</dc:creator>
  <cp:keywords/>
  <dc:description/>
  <cp:lastModifiedBy>Patricio Jara</cp:lastModifiedBy>
  <cp:revision/>
  <dcterms:created xsi:type="dcterms:W3CDTF">2018-11-08T12:46:48Z</dcterms:created>
  <dcterms:modified xsi:type="dcterms:W3CDTF">2026-04-30T18:20:28Z</dcterms:modified>
  <cp:category/>
  <cp:contentStatus/>
</cp:coreProperties>
</file>